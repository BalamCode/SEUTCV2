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827" codeName="{37B6ACAC-4A07-160E-37E0-EFA003358AD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ilberto\Documents\Visual Studio 2012\Projects\SEUTCV2\Documentación\Listas de asistencia 2018A\"/>
    </mc:Choice>
  </mc:AlternateContent>
  <bookViews>
    <workbookView xWindow="0" yWindow="0" windowWidth="19170" windowHeight="7680"/>
  </bookViews>
  <sheets>
    <sheet name="TTS-5A" sheetId="14" r:id="rId1"/>
    <sheet name="TTS-2B" sheetId="12" r:id="rId2"/>
    <sheet name="TTS-2A" sheetId="1" r:id="rId3"/>
    <sheet name="TTH" sheetId="2" r:id="rId4"/>
    <sheet name="TMI" sheetId="3" r:id="rId5"/>
    <sheet name="TGA" sheetId="4" r:id="rId6"/>
    <sheet name="TTS2A" sheetId="5" r:id="rId7"/>
    <sheet name="TTH-2A" sheetId="6" r:id="rId8"/>
    <sheet name="TTH-2B" sheetId="7" r:id="rId9"/>
    <sheet name="TMI-2A" sheetId="8" r:id="rId10"/>
    <sheet name="TGA-2A" sheetId="9" r:id="rId11"/>
    <sheet name="TGA-2B" sheetId="11" r:id="rId12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5" i="14" l="1"/>
  <c r="I35" i="14"/>
  <c r="H35" i="14"/>
  <c r="K34" i="14"/>
  <c r="I34" i="14"/>
  <c r="H34" i="14"/>
  <c r="L33" i="14"/>
  <c r="K33" i="14"/>
  <c r="J33" i="14"/>
  <c r="I33" i="14"/>
  <c r="H33" i="14"/>
  <c r="L32" i="14"/>
  <c r="K32" i="14"/>
  <c r="J32" i="14"/>
  <c r="I32" i="14"/>
  <c r="H32" i="14"/>
  <c r="L31" i="14"/>
  <c r="K31" i="14"/>
  <c r="J31" i="14"/>
  <c r="I31" i="14"/>
  <c r="H31" i="14"/>
  <c r="L30" i="14"/>
  <c r="K30" i="14"/>
  <c r="J30" i="14"/>
  <c r="I30" i="14"/>
  <c r="H30" i="14"/>
  <c r="O29" i="14"/>
  <c r="N29" i="14"/>
  <c r="L29" i="14"/>
  <c r="H29" i="14"/>
  <c r="M29" i="14" s="1"/>
  <c r="O28" i="14"/>
  <c r="N28" i="14"/>
  <c r="L28" i="14"/>
  <c r="H28" i="14"/>
  <c r="M28" i="14" s="1"/>
  <c r="O27" i="14"/>
  <c r="N27" i="14"/>
  <c r="M27" i="14"/>
  <c r="L27" i="14"/>
  <c r="H27" i="14"/>
  <c r="O26" i="14"/>
  <c r="N26" i="14"/>
  <c r="L26" i="14"/>
  <c r="H26" i="14"/>
  <c r="M26" i="14" s="1"/>
  <c r="O25" i="14"/>
  <c r="N25" i="14"/>
  <c r="L25" i="14"/>
  <c r="H25" i="14"/>
  <c r="M25" i="14" s="1"/>
  <c r="O24" i="14"/>
  <c r="N24" i="14"/>
  <c r="L24" i="14"/>
  <c r="H24" i="14"/>
  <c r="M24" i="14" s="1"/>
  <c r="O23" i="14"/>
  <c r="N23" i="14"/>
  <c r="M23" i="14"/>
  <c r="L23" i="14"/>
  <c r="H23" i="14"/>
  <c r="O22" i="14"/>
  <c r="N22" i="14"/>
  <c r="L22" i="14"/>
  <c r="H22" i="14"/>
  <c r="M22" i="14" s="1"/>
  <c r="O21" i="14"/>
  <c r="N21" i="14"/>
  <c r="L21" i="14"/>
  <c r="H21" i="14"/>
  <c r="M21" i="14" s="1"/>
  <c r="O20" i="14"/>
  <c r="N20" i="14"/>
  <c r="L20" i="14"/>
  <c r="H20" i="14"/>
  <c r="M20" i="14" s="1"/>
  <c r="O19" i="14"/>
  <c r="N19" i="14"/>
  <c r="L19" i="14"/>
  <c r="H19" i="14"/>
  <c r="M19" i="14" s="1"/>
  <c r="O18" i="14"/>
  <c r="N18" i="14"/>
  <c r="L18" i="14"/>
  <c r="H18" i="14"/>
  <c r="M18" i="14" s="1"/>
  <c r="O17" i="14"/>
  <c r="N17" i="14"/>
  <c r="L17" i="14"/>
  <c r="H17" i="14"/>
  <c r="M17" i="14" s="1"/>
  <c r="O16" i="14"/>
  <c r="N16" i="14"/>
  <c r="L16" i="14"/>
  <c r="H16" i="14"/>
  <c r="M16" i="14" s="1"/>
  <c r="O15" i="14"/>
  <c r="N15" i="14"/>
  <c r="L15" i="14"/>
  <c r="H15" i="14"/>
  <c r="M15" i="14" s="1"/>
  <c r="O14" i="14"/>
  <c r="N14" i="14"/>
  <c r="M14" i="14"/>
  <c r="L14" i="14"/>
  <c r="H14" i="14"/>
  <c r="O13" i="14"/>
  <c r="N13" i="14"/>
  <c r="L13" i="14"/>
  <c r="H13" i="14"/>
  <c r="M13" i="14" s="1"/>
  <c r="O12" i="14"/>
  <c r="N12" i="14"/>
  <c r="L12" i="14"/>
  <c r="H12" i="14"/>
  <c r="M12" i="14" s="1"/>
  <c r="O11" i="14"/>
  <c r="N11" i="14"/>
  <c r="L11" i="14"/>
  <c r="H11" i="14"/>
  <c r="M11" i="14" s="1"/>
  <c r="O10" i="14"/>
  <c r="N10" i="14"/>
  <c r="L10" i="14"/>
  <c r="H10" i="14"/>
  <c r="M10" i="14" s="1"/>
  <c r="O9" i="14"/>
  <c r="N9" i="14"/>
  <c r="L9" i="14"/>
  <c r="H9" i="14"/>
  <c r="M9" i="14" s="1"/>
  <c r="O8" i="14"/>
  <c r="N8" i="14"/>
  <c r="L8" i="14"/>
  <c r="H8" i="14"/>
  <c r="M8" i="14" s="1"/>
  <c r="O7" i="14"/>
  <c r="N7" i="14"/>
  <c r="M7" i="14"/>
  <c r="L7" i="14"/>
  <c r="H7" i="14"/>
  <c r="O6" i="14"/>
  <c r="N6" i="14"/>
  <c r="L6" i="14"/>
  <c r="H6" i="14"/>
  <c r="M6" i="14" s="1"/>
  <c r="O5" i="14"/>
  <c r="N5" i="14"/>
  <c r="L5" i="14"/>
  <c r="H5" i="14"/>
  <c r="M5" i="14" s="1"/>
  <c r="K35" i="12"/>
  <c r="I35" i="12"/>
  <c r="H35" i="12"/>
  <c r="K34" i="12"/>
  <c r="I34" i="12"/>
  <c r="H34" i="12"/>
  <c r="L33" i="12"/>
  <c r="K33" i="12"/>
  <c r="J33" i="12"/>
  <c r="I33" i="12"/>
  <c r="H33" i="12"/>
  <c r="L32" i="12"/>
  <c r="K32" i="12"/>
  <c r="J32" i="12"/>
  <c r="I32" i="12"/>
  <c r="H32" i="12"/>
  <c r="L31" i="12"/>
  <c r="K31" i="12"/>
  <c r="J31" i="12"/>
  <c r="I31" i="12"/>
  <c r="H31" i="12"/>
  <c r="L30" i="12"/>
  <c r="K30" i="12"/>
  <c r="J30" i="12"/>
  <c r="I30" i="12"/>
  <c r="H30" i="12"/>
  <c r="O29" i="12"/>
  <c r="N29" i="12"/>
  <c r="L29" i="12"/>
  <c r="H29" i="12"/>
  <c r="M29" i="12" s="1"/>
  <c r="O28" i="12"/>
  <c r="N28" i="12"/>
  <c r="L28" i="12"/>
  <c r="H28" i="12"/>
  <c r="M28" i="12" s="1"/>
  <c r="O27" i="12"/>
  <c r="N27" i="12"/>
  <c r="L27" i="12"/>
  <c r="H27" i="12"/>
  <c r="M27" i="12" s="1"/>
  <c r="O26" i="12"/>
  <c r="N26" i="12"/>
  <c r="L26" i="12"/>
  <c r="H26" i="12"/>
  <c r="M26" i="12" s="1"/>
  <c r="O25" i="12"/>
  <c r="N25" i="12"/>
  <c r="L25" i="12"/>
  <c r="H25" i="12"/>
  <c r="M25" i="12" s="1"/>
  <c r="O24" i="12"/>
  <c r="N24" i="12"/>
  <c r="L24" i="12"/>
  <c r="H24" i="12"/>
  <c r="M24" i="12" s="1"/>
  <c r="O23" i="12"/>
  <c r="N23" i="12"/>
  <c r="L23" i="12"/>
  <c r="H23" i="12"/>
  <c r="M23" i="12" s="1"/>
  <c r="O22" i="12"/>
  <c r="N22" i="12"/>
  <c r="L22" i="12"/>
  <c r="H22" i="12"/>
  <c r="M22" i="12" s="1"/>
  <c r="O21" i="12"/>
  <c r="N21" i="12"/>
  <c r="L21" i="12"/>
  <c r="H21" i="12"/>
  <c r="M21" i="12" s="1"/>
  <c r="O20" i="12"/>
  <c r="N20" i="12"/>
  <c r="L20" i="12"/>
  <c r="H20" i="12"/>
  <c r="M20" i="12" s="1"/>
  <c r="O19" i="12"/>
  <c r="N19" i="12"/>
  <c r="L19" i="12"/>
  <c r="H19" i="12"/>
  <c r="M19" i="12" s="1"/>
  <c r="O18" i="12"/>
  <c r="N18" i="12"/>
  <c r="M18" i="12"/>
  <c r="L18" i="12"/>
  <c r="H18" i="12"/>
  <c r="O17" i="12"/>
  <c r="N17" i="12"/>
  <c r="L17" i="12"/>
  <c r="H17" i="12"/>
  <c r="M17" i="12" s="1"/>
  <c r="O16" i="12"/>
  <c r="N16" i="12"/>
  <c r="L16" i="12"/>
  <c r="H16" i="12"/>
  <c r="M16" i="12" s="1"/>
  <c r="O15" i="12"/>
  <c r="N15" i="12"/>
  <c r="L15" i="12"/>
  <c r="H15" i="12"/>
  <c r="M15" i="12" s="1"/>
  <c r="O14" i="12"/>
  <c r="N14" i="12"/>
  <c r="L14" i="12"/>
  <c r="H14" i="12"/>
  <c r="M14" i="12" s="1"/>
  <c r="O13" i="12"/>
  <c r="N13" i="12"/>
  <c r="L13" i="12"/>
  <c r="H13" i="12"/>
  <c r="M13" i="12" s="1"/>
  <c r="O12" i="12"/>
  <c r="N12" i="12"/>
  <c r="L12" i="12"/>
  <c r="H12" i="12"/>
  <c r="M12" i="12" s="1"/>
  <c r="O11" i="12"/>
  <c r="N11" i="12"/>
  <c r="L11" i="12"/>
  <c r="H11" i="12"/>
  <c r="M11" i="12" s="1"/>
  <c r="O10" i="12"/>
  <c r="N10" i="12"/>
  <c r="L10" i="12"/>
  <c r="H10" i="12"/>
  <c r="M10" i="12" s="1"/>
  <c r="O9" i="12"/>
  <c r="N9" i="12"/>
  <c r="L9" i="12"/>
  <c r="H9" i="12"/>
  <c r="M9" i="12" s="1"/>
  <c r="O8" i="12"/>
  <c r="N8" i="12"/>
  <c r="L8" i="12"/>
  <c r="H8" i="12"/>
  <c r="M8" i="12" s="1"/>
  <c r="O7" i="12"/>
  <c r="N7" i="12"/>
  <c r="L7" i="12"/>
  <c r="H7" i="12"/>
  <c r="M7" i="12" s="1"/>
  <c r="O6" i="12"/>
  <c r="N6" i="12"/>
  <c r="L6" i="12"/>
  <c r="H6" i="12"/>
  <c r="M6" i="12" s="1"/>
  <c r="O5" i="12"/>
  <c r="N5" i="12"/>
  <c r="L5" i="12"/>
  <c r="H5" i="12"/>
  <c r="M5" i="12" s="1"/>
  <c r="O6" i="1"/>
  <c r="P6" i="1"/>
  <c r="O7" i="1"/>
  <c r="P7" i="1"/>
  <c r="O8" i="1"/>
  <c r="P8" i="1"/>
  <c r="O9" i="1"/>
  <c r="P9" i="1"/>
  <c r="O10" i="1"/>
  <c r="P10" i="1"/>
  <c r="O11" i="1"/>
  <c r="P11" i="1"/>
  <c r="O12" i="1"/>
  <c r="P12" i="1"/>
  <c r="O13" i="1"/>
  <c r="P13" i="1"/>
  <c r="O14" i="1"/>
  <c r="P14" i="1"/>
  <c r="O15" i="1"/>
  <c r="P15" i="1"/>
  <c r="O16" i="1"/>
  <c r="P16" i="1"/>
  <c r="O17" i="1"/>
  <c r="P17" i="1"/>
  <c r="O18" i="1"/>
  <c r="P18" i="1"/>
  <c r="O19" i="1"/>
  <c r="P19" i="1"/>
  <c r="O20" i="1"/>
  <c r="P20" i="1"/>
  <c r="O21" i="1"/>
  <c r="P21" i="1"/>
  <c r="O22" i="1"/>
  <c r="P22" i="1"/>
  <c r="O23" i="1"/>
  <c r="P23" i="1"/>
  <c r="O24" i="1"/>
  <c r="P24" i="1"/>
  <c r="O25" i="1"/>
  <c r="P25" i="1"/>
  <c r="O26" i="1"/>
  <c r="P26" i="1"/>
  <c r="O27" i="1"/>
  <c r="P27" i="1"/>
  <c r="O28" i="1"/>
  <c r="P28" i="1"/>
  <c r="O29" i="1"/>
  <c r="P29" i="1"/>
  <c r="P5" i="1"/>
  <c r="O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5" i="1"/>
  <c r="M29" i="1"/>
  <c r="M30" i="1"/>
  <c r="M31" i="1"/>
  <c r="M32" i="1"/>
  <c r="M33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5" i="1"/>
  <c r="J30" i="1"/>
  <c r="K30" i="1"/>
  <c r="L30" i="1"/>
  <c r="J31" i="1"/>
  <c r="K31" i="1"/>
  <c r="L31" i="1"/>
  <c r="J32" i="1"/>
  <c r="K32" i="1"/>
  <c r="L32" i="1"/>
  <c r="J33" i="1"/>
  <c r="K33" i="1"/>
  <c r="L33" i="1"/>
  <c r="J34" i="1"/>
  <c r="L34" i="1"/>
  <c r="J35" i="1"/>
  <c r="L3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5" i="1"/>
  <c r="E49" i="14"/>
  <c r="E45" i="14"/>
  <c r="E41" i="14"/>
  <c r="E37" i="14"/>
  <c r="F29" i="14"/>
  <c r="E28" i="14"/>
  <c r="D27" i="14"/>
  <c r="F25" i="14"/>
  <c r="E24" i="14"/>
  <c r="D23" i="14"/>
  <c r="F21" i="14"/>
  <c r="E20" i="14"/>
  <c r="D19" i="14"/>
  <c r="F17" i="14"/>
  <c r="E16" i="14"/>
  <c r="D15" i="14"/>
  <c r="F13" i="14"/>
  <c r="E12" i="14"/>
  <c r="D11" i="14"/>
  <c r="F9" i="14"/>
  <c r="E8" i="14"/>
  <c r="D7" i="14"/>
  <c r="F5" i="14"/>
  <c r="E46" i="14"/>
  <c r="F24" i="14"/>
  <c r="F20" i="14"/>
  <c r="D18" i="14"/>
  <c r="F16" i="14"/>
  <c r="D14" i="14"/>
  <c r="E48" i="14"/>
  <c r="E44" i="14"/>
  <c r="E40" i="14"/>
  <c r="E36" i="14"/>
  <c r="E29" i="14"/>
  <c r="D28" i="14"/>
  <c r="F26" i="14"/>
  <c r="E25" i="14"/>
  <c r="D24" i="14"/>
  <c r="F22" i="14"/>
  <c r="E21" i="14"/>
  <c r="D20" i="14"/>
  <c r="F18" i="14"/>
  <c r="E17" i="14"/>
  <c r="D16" i="14"/>
  <c r="F14" i="14"/>
  <c r="E13" i="14"/>
  <c r="D12" i="14"/>
  <c r="F10" i="14"/>
  <c r="E9" i="14"/>
  <c r="D8" i="14"/>
  <c r="F6" i="14"/>
  <c r="E5" i="14"/>
  <c r="E18" i="14"/>
  <c r="F15" i="14"/>
  <c r="E14" i="14"/>
  <c r="F11" i="14"/>
  <c r="E6" i="14"/>
  <c r="E42" i="14"/>
  <c r="F28" i="14"/>
  <c r="E27" i="14"/>
  <c r="D26" i="14"/>
  <c r="E23" i="14"/>
  <c r="D22" i="14"/>
  <c r="E15" i="14"/>
  <c r="E11" i="14"/>
  <c r="D10" i="14"/>
  <c r="E7" i="14"/>
  <c r="D6" i="14"/>
  <c r="E47" i="14"/>
  <c r="E43" i="14"/>
  <c r="E39" i="14"/>
  <c r="E35" i="14"/>
  <c r="D29" i="14"/>
  <c r="F27" i="14"/>
  <c r="E26" i="14"/>
  <c r="D25" i="14"/>
  <c r="F23" i="14"/>
  <c r="E22" i="14"/>
  <c r="D21" i="14"/>
  <c r="F19" i="14"/>
  <c r="D17" i="14"/>
  <c r="D13" i="14"/>
  <c r="E10" i="14"/>
  <c r="D9" i="14"/>
  <c r="F7" i="14"/>
  <c r="D5" i="14"/>
  <c r="E38" i="14"/>
  <c r="E34" i="14"/>
  <c r="E19" i="14"/>
  <c r="F12" i="14"/>
  <c r="F8" i="14"/>
  <c r="E49" i="12"/>
  <c r="E45" i="12"/>
  <c r="E41" i="12"/>
  <c r="E37" i="12"/>
  <c r="F29" i="12"/>
  <c r="E28" i="12"/>
  <c r="D27" i="12"/>
  <c r="F25" i="12"/>
  <c r="E24" i="12"/>
  <c r="D23" i="12"/>
  <c r="F21" i="12"/>
  <c r="E20" i="12"/>
  <c r="D19" i="12"/>
  <c r="F17" i="12"/>
  <c r="E16" i="12"/>
  <c r="D15" i="12"/>
  <c r="F13" i="12"/>
  <c r="E12" i="12"/>
  <c r="D11" i="12"/>
  <c r="F9" i="12"/>
  <c r="E8" i="12"/>
  <c r="D7" i="12"/>
  <c r="F5" i="12"/>
  <c r="E5" i="12"/>
  <c r="D26" i="12"/>
  <c r="F24" i="12"/>
  <c r="F16" i="12"/>
  <c r="E48" i="12"/>
  <c r="E44" i="12"/>
  <c r="E40" i="12"/>
  <c r="E36" i="12"/>
  <c r="E29" i="12"/>
  <c r="D28" i="12"/>
  <c r="F26" i="12"/>
  <c r="E25" i="12"/>
  <c r="D24" i="12"/>
  <c r="F22" i="12"/>
  <c r="E21" i="12"/>
  <c r="D20" i="12"/>
  <c r="F18" i="12"/>
  <c r="E17" i="12"/>
  <c r="D16" i="12"/>
  <c r="F14" i="12"/>
  <c r="E13" i="12"/>
  <c r="D12" i="12"/>
  <c r="F10" i="12"/>
  <c r="E9" i="12"/>
  <c r="D8" i="12"/>
  <c r="F6" i="12"/>
  <c r="E23" i="12"/>
  <c r="F20" i="12"/>
  <c r="F12" i="12"/>
  <c r="E47" i="12"/>
  <c r="E43" i="12"/>
  <c r="E39" i="12"/>
  <c r="E35" i="12"/>
  <c r="D29" i="12"/>
  <c r="F27" i="12"/>
  <c r="E26" i="12"/>
  <c r="D25" i="12"/>
  <c r="F23" i="12"/>
  <c r="E22" i="12"/>
  <c r="D21" i="12"/>
  <c r="F19" i="12"/>
  <c r="E18" i="12"/>
  <c r="D17" i="12"/>
  <c r="F15" i="12"/>
  <c r="E14" i="12"/>
  <c r="D13" i="12"/>
  <c r="F11" i="12"/>
  <c r="E10" i="12"/>
  <c r="D9" i="12"/>
  <c r="F7" i="12"/>
  <c r="E6" i="12"/>
  <c r="D5" i="12"/>
  <c r="E46" i="12"/>
  <c r="E42" i="12"/>
  <c r="E38" i="12"/>
  <c r="E34" i="12"/>
  <c r="F28" i="12"/>
  <c r="E27" i="12"/>
  <c r="D22" i="12"/>
  <c r="E19" i="12"/>
  <c r="D18" i="12"/>
  <c r="E15" i="12"/>
  <c r="D14" i="12"/>
  <c r="E11" i="12"/>
  <c r="E7" i="12"/>
  <c r="D10" i="12"/>
  <c r="F8" i="12"/>
  <c r="D6" i="12"/>
  <c r="K8" i="14" l="1"/>
  <c r="K12" i="14"/>
  <c r="J19" i="14"/>
  <c r="J34" i="14"/>
  <c r="I5" i="14"/>
  <c r="K7" i="14"/>
  <c r="I9" i="14"/>
  <c r="J10" i="14"/>
  <c r="I13" i="14"/>
  <c r="I17" i="14"/>
  <c r="K19" i="14"/>
  <c r="I21" i="14"/>
  <c r="J22" i="14"/>
  <c r="K23" i="14"/>
  <c r="I25" i="14"/>
  <c r="J26" i="14"/>
  <c r="K27" i="14"/>
  <c r="I29" i="14"/>
  <c r="J35" i="14"/>
  <c r="I6" i="14"/>
  <c r="J7" i="14"/>
  <c r="I10" i="14"/>
  <c r="J11" i="14"/>
  <c r="J15" i="14"/>
  <c r="I22" i="14"/>
  <c r="J23" i="14"/>
  <c r="I26" i="14"/>
  <c r="J27" i="14"/>
  <c r="K28" i="14"/>
  <c r="J6" i="14"/>
  <c r="K11" i="14"/>
  <c r="J14" i="14"/>
  <c r="K15" i="14"/>
  <c r="J18" i="14"/>
  <c r="J5" i="14"/>
  <c r="K6" i="14"/>
  <c r="I8" i="14"/>
  <c r="J9" i="14"/>
  <c r="K10" i="14"/>
  <c r="I12" i="14"/>
  <c r="J13" i="14"/>
  <c r="K14" i="14"/>
  <c r="I16" i="14"/>
  <c r="J17" i="14"/>
  <c r="K18" i="14"/>
  <c r="I20" i="14"/>
  <c r="J21" i="14"/>
  <c r="K22" i="14"/>
  <c r="I24" i="14"/>
  <c r="J25" i="14"/>
  <c r="K26" i="14"/>
  <c r="I28" i="14"/>
  <c r="J29" i="14"/>
  <c r="I14" i="14"/>
  <c r="K16" i="14"/>
  <c r="I18" i="14"/>
  <c r="K20" i="14"/>
  <c r="K24" i="14"/>
  <c r="K5" i="14"/>
  <c r="I7" i="14"/>
  <c r="J8" i="14"/>
  <c r="K9" i="14"/>
  <c r="I11" i="14"/>
  <c r="J12" i="14"/>
  <c r="K13" i="14"/>
  <c r="I15" i="14"/>
  <c r="J16" i="14"/>
  <c r="K17" i="14"/>
  <c r="I19" i="14"/>
  <c r="J20" i="14"/>
  <c r="K21" i="14"/>
  <c r="I23" i="14"/>
  <c r="J24" i="14"/>
  <c r="K25" i="14"/>
  <c r="I27" i="14"/>
  <c r="J28" i="14"/>
  <c r="K29" i="14"/>
  <c r="I6" i="12"/>
  <c r="K8" i="12"/>
  <c r="I10" i="12"/>
  <c r="J7" i="12"/>
  <c r="J11" i="12"/>
  <c r="I14" i="12"/>
  <c r="J15" i="12"/>
  <c r="I18" i="12"/>
  <c r="J19" i="12"/>
  <c r="I22" i="12"/>
  <c r="J27" i="12"/>
  <c r="K28" i="12"/>
  <c r="J34" i="12"/>
  <c r="I5" i="12"/>
  <c r="J6" i="12"/>
  <c r="K7" i="12"/>
  <c r="I9" i="12"/>
  <c r="J10" i="12"/>
  <c r="K11" i="12"/>
  <c r="I13" i="12"/>
  <c r="J14" i="12"/>
  <c r="K15" i="12"/>
  <c r="I17" i="12"/>
  <c r="J18" i="12"/>
  <c r="K19" i="12"/>
  <c r="I21" i="12"/>
  <c r="J22" i="12"/>
  <c r="K23" i="12"/>
  <c r="I25" i="12"/>
  <c r="J26" i="12"/>
  <c r="K27" i="12"/>
  <c r="I29" i="12"/>
  <c r="J35" i="12"/>
  <c r="K12" i="12"/>
  <c r="K20" i="12"/>
  <c r="J23" i="12"/>
  <c r="K6" i="12"/>
  <c r="I8" i="12"/>
  <c r="J9" i="12"/>
  <c r="K10" i="12"/>
  <c r="I12" i="12"/>
  <c r="J13" i="12"/>
  <c r="K14" i="12"/>
  <c r="I16" i="12"/>
  <c r="J17" i="12"/>
  <c r="K18" i="12"/>
  <c r="I20" i="12"/>
  <c r="J21" i="12"/>
  <c r="K22" i="12"/>
  <c r="I24" i="12"/>
  <c r="J25" i="12"/>
  <c r="K26" i="12"/>
  <c r="I28" i="12"/>
  <c r="J29" i="12"/>
  <c r="K16" i="12"/>
  <c r="K24" i="12"/>
  <c r="I26" i="12"/>
  <c r="J5" i="12"/>
  <c r="K5" i="12"/>
  <c r="I7" i="12"/>
  <c r="J8" i="12"/>
  <c r="K9" i="12"/>
  <c r="I11" i="12"/>
  <c r="J12" i="12"/>
  <c r="K13" i="12"/>
  <c r="I15" i="12"/>
  <c r="J16" i="12"/>
  <c r="K17" i="12"/>
  <c r="I19" i="12"/>
  <c r="J20" i="12"/>
  <c r="K21" i="12"/>
  <c r="I23" i="12"/>
  <c r="J24" i="12"/>
  <c r="K25" i="12"/>
  <c r="I27" i="12"/>
  <c r="J28" i="12"/>
  <c r="K29" i="12"/>
  <c r="D3" i="11"/>
  <c r="D4" i="11"/>
  <c r="D5" i="11"/>
  <c r="D6" i="11"/>
  <c r="D7" i="11"/>
  <c r="D8" i="11"/>
  <c r="D9" i="11"/>
  <c r="D10" i="11"/>
  <c r="D11" i="11"/>
  <c r="D12" i="11"/>
  <c r="D13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2" i="11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2" i="9"/>
  <c r="D13" i="8"/>
  <c r="D12" i="8"/>
  <c r="D11" i="8"/>
  <c r="D10" i="8"/>
  <c r="D9" i="8"/>
  <c r="D8" i="8"/>
  <c r="D7" i="8"/>
  <c r="D6" i="8"/>
  <c r="D5" i="8"/>
  <c r="D4" i="8"/>
  <c r="D3" i="8"/>
  <c r="D2" i="8"/>
  <c r="D3" i="7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2" i="7"/>
  <c r="F6" i="1"/>
  <c r="F8" i="1"/>
  <c r="F10" i="1"/>
  <c r="F12" i="1"/>
  <c r="F14" i="1"/>
  <c r="F16" i="1"/>
  <c r="F18" i="1"/>
  <c r="F20" i="1"/>
  <c r="F22" i="1"/>
  <c r="F24" i="1"/>
  <c r="F26" i="1"/>
  <c r="F28" i="1"/>
  <c r="G9" i="1"/>
  <c r="G13" i="1"/>
  <c r="G19" i="1"/>
  <c r="G25" i="1"/>
  <c r="G6" i="1"/>
  <c r="G8" i="1"/>
  <c r="G10" i="1"/>
  <c r="G12" i="1"/>
  <c r="G14" i="1"/>
  <c r="G16" i="1"/>
  <c r="G18" i="1"/>
  <c r="G20" i="1"/>
  <c r="G22" i="1"/>
  <c r="G24" i="1"/>
  <c r="G26" i="1"/>
  <c r="G28" i="1"/>
  <c r="G7" i="1"/>
  <c r="G15" i="1"/>
  <c r="G21" i="1"/>
  <c r="G27" i="1"/>
  <c r="F7" i="1"/>
  <c r="F9" i="1"/>
  <c r="F11" i="1"/>
  <c r="F13" i="1"/>
  <c r="F15" i="1"/>
  <c r="F17" i="1"/>
  <c r="F19" i="1"/>
  <c r="F21" i="1"/>
  <c r="F23" i="1"/>
  <c r="F25" i="1"/>
  <c r="F27" i="1"/>
  <c r="F29" i="1"/>
  <c r="G11" i="1"/>
  <c r="G17" i="1"/>
  <c r="G23" i="1"/>
  <c r="G29" i="1"/>
  <c r="G5" i="1"/>
  <c r="F5" i="1"/>
  <c r="E6" i="1"/>
  <c r="E10" i="1"/>
  <c r="E14" i="1"/>
  <c r="E18" i="1"/>
  <c r="E22" i="1"/>
  <c r="E26" i="1"/>
  <c r="E8" i="1"/>
  <c r="E16" i="1"/>
  <c r="E24" i="1"/>
  <c r="E9" i="1"/>
  <c r="E17" i="1"/>
  <c r="E25" i="1"/>
  <c r="E7" i="1"/>
  <c r="E11" i="1"/>
  <c r="E15" i="1"/>
  <c r="E19" i="1"/>
  <c r="E23" i="1"/>
  <c r="E27" i="1"/>
  <c r="E12" i="1"/>
  <c r="E20" i="1"/>
  <c r="E28" i="1"/>
  <c r="E13" i="1"/>
  <c r="E21" i="1"/>
  <c r="E29" i="1"/>
  <c r="E5" i="1"/>
  <c r="E25" i="11"/>
  <c r="E3" i="11"/>
  <c r="E19" i="11"/>
  <c r="G24" i="11"/>
  <c r="F15" i="11"/>
  <c r="F31" i="11"/>
  <c r="F2" i="11"/>
  <c r="G21" i="9"/>
  <c r="F15" i="9"/>
  <c r="F18" i="9"/>
  <c r="E26" i="9"/>
  <c r="G10" i="9"/>
  <c r="F3" i="8"/>
  <c r="G13" i="8"/>
  <c r="G17" i="7"/>
  <c r="F17" i="7"/>
  <c r="E17" i="7"/>
  <c r="E3" i="6"/>
  <c r="G14" i="6"/>
  <c r="F5" i="6"/>
  <c r="F18" i="6"/>
  <c r="E54" i="4"/>
  <c r="D39" i="4"/>
  <c r="F7" i="4"/>
  <c r="E11" i="2"/>
  <c r="E6" i="2"/>
  <c r="F3" i="4"/>
  <c r="E25" i="4"/>
  <c r="F9" i="4"/>
  <c r="F6" i="3"/>
  <c r="G4" i="11"/>
  <c r="E8" i="11"/>
  <c r="E26" i="11"/>
  <c r="F4" i="11"/>
  <c r="F20" i="11"/>
  <c r="G7" i="11"/>
  <c r="E7" i="9"/>
  <c r="F28" i="9"/>
  <c r="E22" i="9"/>
  <c r="E4" i="9"/>
  <c r="E13" i="9"/>
  <c r="E24" i="9"/>
  <c r="E9" i="8"/>
  <c r="G8" i="8"/>
  <c r="E11" i="7"/>
  <c r="G10" i="7"/>
  <c r="F10" i="7"/>
  <c r="G9" i="6"/>
  <c r="F7" i="6"/>
  <c r="G3" i="6"/>
  <c r="E16" i="6"/>
  <c r="D56" i="4"/>
  <c r="D25" i="4"/>
  <c r="D4" i="3"/>
  <c r="F38" i="1"/>
  <c r="D18" i="2"/>
  <c r="F47" i="4"/>
  <c r="F13" i="2"/>
  <c r="F53" i="4"/>
  <c r="E24" i="4"/>
  <c r="F4" i="4"/>
  <c r="F15" i="2"/>
  <c r="G19" i="11"/>
  <c r="E13" i="11"/>
  <c r="G5" i="11"/>
  <c r="F9" i="11"/>
  <c r="F25" i="11"/>
  <c r="G21" i="11"/>
  <c r="G13" i="9"/>
  <c r="E6" i="9"/>
  <c r="E30" i="9"/>
  <c r="F17" i="9"/>
  <c r="E25" i="9"/>
  <c r="E2" i="9"/>
  <c r="E4" i="8"/>
  <c r="G3" i="8"/>
  <c r="F4" i="7"/>
  <c r="E4" i="7"/>
  <c r="G3" i="7"/>
  <c r="F16" i="6"/>
  <c r="E14" i="6"/>
  <c r="F10" i="6"/>
  <c r="E47" i="4"/>
  <c r="F34" i="4"/>
  <c r="D5" i="4"/>
  <c r="E12" i="3"/>
  <c r="E13" i="2"/>
  <c r="D27" i="4"/>
  <c r="F40" i="1"/>
  <c r="D59" i="4"/>
  <c r="E27" i="4"/>
  <c r="F2" i="4"/>
  <c r="E3" i="2"/>
  <c r="G22" i="11"/>
  <c r="E14" i="11"/>
  <c r="G8" i="11"/>
  <c r="F10" i="11"/>
  <c r="F26" i="11"/>
  <c r="G23" i="11"/>
  <c r="E15" i="9"/>
  <c r="F7" i="9"/>
  <c r="G3" i="9"/>
  <c r="E20" i="9"/>
  <c r="G27" i="9"/>
  <c r="F2" i="9"/>
  <c r="E3" i="8"/>
  <c r="G2" i="8"/>
  <c r="E3" i="7"/>
  <c r="G2" i="7"/>
  <c r="F2" i="7"/>
  <c r="G17" i="6"/>
  <c r="F15" i="6"/>
  <c r="G11" i="6"/>
  <c r="F52" i="4"/>
  <c r="E22" i="4"/>
  <c r="E14" i="4"/>
  <c r="E6" i="3"/>
  <c r="E19" i="2"/>
  <c r="E38" i="4"/>
  <c r="F5" i="2"/>
  <c r="F46" i="4"/>
  <c r="F32" i="4"/>
  <c r="D13" i="3"/>
  <c r="E33" i="11"/>
  <c r="E7" i="11"/>
  <c r="E24" i="11"/>
  <c r="F3" i="11"/>
  <c r="F19" i="11"/>
  <c r="G3" i="11"/>
  <c r="G5" i="9"/>
  <c r="E27" i="9"/>
  <c r="G20" i="9"/>
  <c r="F30" i="9"/>
  <c r="F10" i="9"/>
  <c r="F21" i="9"/>
  <c r="E10" i="8"/>
  <c r="G9" i="8"/>
  <c r="F12" i="7"/>
  <c r="E12" i="7"/>
  <c r="G11" i="7"/>
  <c r="F8" i="6"/>
  <c r="E6" i="6"/>
  <c r="E20" i="6"/>
  <c r="E12" i="6"/>
  <c r="F50" i="4"/>
  <c r="F36" i="4"/>
  <c r="D11" i="3"/>
  <c r="F22" i="2"/>
  <c r="F37" i="1"/>
  <c r="D47" i="4"/>
  <c r="D15" i="2"/>
  <c r="E59" i="4"/>
  <c r="F39" i="4"/>
  <c r="D12" i="4"/>
  <c r="E15" i="3"/>
  <c r="G16" i="11"/>
  <c r="E12" i="11"/>
  <c r="E34" i="11"/>
  <c r="F8" i="11"/>
  <c r="F24" i="11"/>
  <c r="G18" i="11"/>
  <c r="F12" i="9"/>
  <c r="G4" i="9"/>
  <c r="G28" i="9"/>
  <c r="G14" i="9"/>
  <c r="F22" i="9"/>
  <c r="G2" i="9"/>
  <c r="E5" i="8"/>
  <c r="G4" i="8"/>
  <c r="G5" i="7"/>
  <c r="F5" i="7"/>
  <c r="E5" i="7"/>
  <c r="E15" i="6"/>
  <c r="G12" i="6"/>
  <c r="E9" i="6"/>
  <c r="D42" i="4"/>
  <c r="E29" i="4"/>
  <c r="F13" i="4"/>
  <c r="F7" i="3"/>
  <c r="D21" i="2"/>
  <c r="F44" i="1"/>
  <c r="F38" i="4"/>
  <c r="D10" i="2"/>
  <c r="E44" i="4"/>
  <c r="D22" i="4"/>
  <c r="D8" i="4"/>
  <c r="F36" i="1"/>
  <c r="G31" i="11"/>
  <c r="E17" i="11"/>
  <c r="G17" i="11"/>
  <c r="F13" i="11"/>
  <c r="F29" i="11"/>
  <c r="G32" i="11"/>
  <c r="E19" i="9"/>
  <c r="F11" i="9"/>
  <c r="G11" i="9"/>
  <c r="F29" i="9"/>
  <c r="F5" i="9"/>
  <c r="F9" i="8"/>
  <c r="F7" i="8"/>
  <c r="F5" i="8"/>
  <c r="E6" i="7"/>
  <c r="F7" i="7"/>
  <c r="G8" i="7"/>
  <c r="G6" i="6"/>
  <c r="F19" i="6"/>
  <c r="G15" i="6"/>
  <c r="F43" i="4"/>
  <c r="E28" i="4"/>
  <c r="F8" i="4"/>
  <c r="D14" i="2"/>
  <c r="D13" i="2"/>
  <c r="F48" i="1"/>
  <c r="F17" i="4"/>
  <c r="F12" i="2"/>
  <c r="D55" i="4"/>
  <c r="F19" i="4"/>
  <c r="F4" i="3"/>
  <c r="E21" i="11"/>
  <c r="G33" i="11"/>
  <c r="E18" i="11"/>
  <c r="G20" i="11"/>
  <c r="F14" i="11"/>
  <c r="F30" i="11"/>
  <c r="G2" i="11"/>
  <c r="F20" i="9"/>
  <c r="E14" i="9"/>
  <c r="F14" i="9"/>
  <c r="G12" i="9"/>
  <c r="E8" i="9"/>
  <c r="F6" i="8"/>
  <c r="F4" i="8"/>
  <c r="F2" i="8"/>
  <c r="E2" i="7"/>
  <c r="F3" i="7"/>
  <c r="G4" i="7"/>
  <c r="G10" i="6"/>
  <c r="G20" i="6"/>
  <c r="E17" i="6"/>
  <c r="D49" i="4"/>
  <c r="F33" i="4"/>
  <c r="D14" i="4"/>
  <c r="F47" i="1"/>
  <c r="F45" i="1"/>
  <c r="D4" i="2"/>
  <c r="E7" i="4"/>
  <c r="D20" i="4"/>
  <c r="E4" i="4"/>
  <c r="F5" i="3"/>
  <c r="G13" i="11"/>
  <c r="E11" i="11"/>
  <c r="E32" i="11"/>
  <c r="F7" i="11"/>
  <c r="F23" i="11"/>
  <c r="G15" i="11"/>
  <c r="E11" i="9"/>
  <c r="F3" i="9"/>
  <c r="F27" i="9"/>
  <c r="E12" i="9"/>
  <c r="G19" i="9"/>
  <c r="G30" i="9"/>
  <c r="E6" i="8"/>
  <c r="G5" i="8"/>
  <c r="E7" i="7"/>
  <c r="G6" i="7"/>
  <c r="F6" i="7"/>
  <c r="G13" i="6"/>
  <c r="F11" i="6"/>
  <c r="G7" i="6"/>
  <c r="E2" i="6"/>
  <c r="D24" i="4"/>
  <c r="E8" i="4"/>
  <c r="F11" i="3"/>
  <c r="D12" i="2"/>
  <c r="E41" i="4"/>
  <c r="E25" i="2"/>
  <c r="F55" i="4"/>
  <c r="F23" i="4"/>
  <c r="E10" i="4"/>
  <c r="D7" i="2"/>
  <c r="G28" i="11"/>
  <c r="E16" i="11"/>
  <c r="G14" i="11"/>
  <c r="F12" i="11"/>
  <c r="F28" i="11"/>
  <c r="G29" i="11"/>
  <c r="G17" i="9"/>
  <c r="E10" i="9"/>
  <c r="E9" i="9"/>
  <c r="G26" i="9"/>
  <c r="G31" i="9"/>
  <c r="F12" i="8"/>
  <c r="F10" i="8"/>
  <c r="F8" i="8"/>
  <c r="E10" i="7"/>
  <c r="F11" i="7"/>
  <c r="G12" i="7"/>
  <c r="F20" i="6"/>
  <c r="E18" i="6"/>
  <c r="F14" i="6"/>
  <c r="F49" i="4"/>
  <c r="D23" i="4"/>
  <c r="E3" i="4"/>
  <c r="E20" i="2"/>
  <c r="F17" i="2"/>
  <c r="D19" i="4"/>
  <c r="E57" i="4"/>
  <c r="F27" i="4"/>
  <c r="D5" i="3"/>
  <c r="E29" i="11"/>
  <c r="E5" i="11"/>
  <c r="E22" i="11"/>
  <c r="G30" i="11"/>
  <c r="F17" i="11"/>
  <c r="F33" i="11"/>
  <c r="E3" i="9"/>
  <c r="F24" i="9"/>
  <c r="E18" i="9"/>
  <c r="G23" i="9"/>
  <c r="E5" i="9"/>
  <c r="E16" i="9"/>
  <c r="E12" i="8"/>
  <c r="G11" i="8"/>
  <c r="E15" i="7"/>
  <c r="G14" i="7"/>
  <c r="F14" i="7"/>
  <c r="G5" i="6"/>
  <c r="F3" i="6"/>
  <c r="F13" i="6"/>
  <c r="E4" i="6"/>
  <c r="E56" i="4"/>
  <c r="D26" i="4"/>
  <c r="D16" i="4"/>
  <c r="F11" i="2"/>
  <c r="D9" i="3"/>
  <c r="F48" i="4"/>
  <c r="D36" i="4"/>
  <c r="E6" i="4"/>
  <c r="E5" i="3"/>
  <c r="E31" i="11"/>
  <c r="E6" i="11"/>
  <c r="E23" i="11"/>
  <c r="G34" i="11"/>
  <c r="F18" i="11"/>
  <c r="F34" i="11"/>
  <c r="F4" i="9"/>
  <c r="G25" i="9"/>
  <c r="F19" i="9"/>
  <c r="F26" i="9"/>
  <c r="G7" i="9"/>
  <c r="G18" i="9"/>
  <c r="E11" i="8"/>
  <c r="G10" i="8"/>
  <c r="G13" i="7"/>
  <c r="F13" i="7"/>
  <c r="E13" i="7"/>
  <c r="E7" i="6"/>
  <c r="G4" i="6"/>
  <c r="F17" i="6"/>
  <c r="E8" i="6"/>
  <c r="E45" i="4"/>
  <c r="E31" i="4"/>
  <c r="D12" i="3"/>
  <c r="F56" i="4"/>
  <c r="E8" i="3"/>
  <c r="D54" i="4"/>
  <c r="H23" i="7"/>
  <c r="G25" i="11"/>
  <c r="E15" i="11"/>
  <c r="G11" i="11"/>
  <c r="F11" i="11"/>
  <c r="F27" i="11"/>
  <c r="G26" i="11"/>
  <c r="F16" i="9"/>
  <c r="G8" i="9"/>
  <c r="F6" i="9"/>
  <c r="G22" i="9"/>
  <c r="E29" i="9"/>
  <c r="F13" i="8"/>
  <c r="E2" i="8"/>
  <c r="F11" i="8"/>
  <c r="E14" i="7"/>
  <c r="F15" i="7"/>
  <c r="G16" i="7"/>
  <c r="E19" i="6"/>
  <c r="G16" i="6"/>
  <c r="E13" i="6"/>
  <c r="D58" i="4"/>
  <c r="F35" i="4"/>
  <c r="E9" i="4"/>
  <c r="E11" i="3"/>
  <c r="F10" i="2"/>
  <c r="E35" i="4"/>
  <c r="F8" i="2"/>
  <c r="D52" i="4"/>
  <c r="D38" i="4"/>
  <c r="D15" i="3"/>
  <c r="E27" i="11"/>
  <c r="E4" i="11"/>
  <c r="E20" i="11"/>
  <c r="G27" i="11"/>
  <c r="F16" i="11"/>
  <c r="F32" i="11"/>
  <c r="E2" i="11"/>
  <c r="E23" i="9"/>
  <c r="G16" i="9"/>
  <c r="E21" i="9"/>
  <c r="F31" i="9"/>
  <c r="F13" i="9"/>
  <c r="E13" i="8"/>
  <c r="G12" i="8"/>
  <c r="F16" i="7"/>
  <c r="E16" i="7"/>
  <c r="G15" i="7"/>
  <c r="F4" i="6"/>
  <c r="G18" i="6"/>
  <c r="F9" i="6"/>
  <c r="G19" i="6"/>
  <c r="F59" i="4"/>
  <c r="F20" i="4"/>
  <c r="D4" i="4"/>
  <c r="D2" i="4"/>
  <c r="E43" i="4"/>
  <c r="F30" i="4"/>
  <c r="D15" i="4"/>
  <c r="F3" i="3"/>
  <c r="G6" i="11"/>
  <c r="E9" i="11"/>
  <c r="E28" i="11"/>
  <c r="F5" i="11"/>
  <c r="F21" i="11"/>
  <c r="G10" i="11"/>
  <c r="F8" i="9"/>
  <c r="G29" i="9"/>
  <c r="F23" i="9"/>
  <c r="G6" i="9"/>
  <c r="G15" i="9"/>
  <c r="F25" i="9"/>
  <c r="E8" i="8"/>
  <c r="G7" i="8"/>
  <c r="G9" i="7"/>
  <c r="F9" i="7"/>
  <c r="E9" i="7"/>
  <c r="E11" i="6"/>
  <c r="G8" i="6"/>
  <c r="E5" i="6"/>
  <c r="G2" i="6"/>
  <c r="D51" i="4"/>
  <c r="D37" i="4"/>
  <c r="D3" i="3"/>
  <c r="D8" i="2"/>
  <c r="E58" i="4"/>
  <c r="D16" i="2"/>
  <c r="D45" i="4"/>
  <c r="F29" i="4"/>
  <c r="D10" i="4"/>
  <c r="G9" i="11"/>
  <c r="E10" i="11"/>
  <c r="E30" i="11"/>
  <c r="F6" i="11"/>
  <c r="F22" i="11"/>
  <c r="G12" i="11"/>
  <c r="G9" i="9"/>
  <c r="E31" i="9"/>
  <c r="G24" i="9"/>
  <c r="F9" i="9"/>
  <c r="E17" i="9"/>
  <c r="E28" i="9"/>
  <c r="E7" i="8"/>
  <c r="G6" i="8"/>
  <c r="F8" i="7"/>
  <c r="E8" i="7"/>
  <c r="G7" i="7"/>
  <c r="F12" i="6"/>
  <c r="E10" i="6"/>
  <c r="F6" i="6"/>
  <c r="F2" i="6"/>
  <c r="D41" i="4"/>
  <c r="D3" i="4"/>
  <c r="F15" i="3"/>
  <c r="E16" i="2"/>
  <c r="E49" i="4"/>
  <c r="E27" i="2"/>
  <c r="E50" i="4"/>
  <c r="E26" i="4"/>
  <c r="E10" i="3"/>
  <c r="F27" i="2"/>
  <c r="F49" i="1"/>
  <c r="F24" i="4"/>
  <c r="D48" i="4"/>
  <c r="D34" i="4"/>
  <c r="D14" i="3"/>
  <c r="D19" i="2"/>
  <c r="E5" i="2"/>
  <c r="G23" i="5"/>
  <c r="E24" i="5"/>
  <c r="D9" i="2"/>
  <c r="E18" i="2"/>
  <c r="F15" i="4"/>
  <c r="D22" i="2"/>
  <c r="F26" i="4"/>
  <c r="D11" i="4"/>
  <c r="F10" i="3"/>
  <c r="E13" i="3"/>
  <c r="G9" i="5"/>
  <c r="G4" i="5"/>
  <c r="F9" i="2"/>
  <c r="D23" i="2"/>
  <c r="F31" i="4"/>
  <c r="F35" i="1"/>
  <c r="E48" i="4"/>
  <c r="E23" i="4"/>
  <c r="F10" i="4"/>
  <c r="F20" i="2"/>
  <c r="F18" i="2"/>
  <c r="E34" i="4"/>
  <c r="F26" i="2"/>
  <c r="G21" i="5"/>
  <c r="E6" i="5"/>
  <c r="G7" i="5"/>
  <c r="E20" i="5"/>
  <c r="E19" i="5"/>
  <c r="E12" i="5"/>
  <c r="G18" i="5"/>
  <c r="F43" i="1"/>
  <c r="D46" i="4"/>
  <c r="F12" i="3"/>
  <c r="D50" i="4"/>
  <c r="E37" i="4"/>
  <c r="D9" i="4"/>
  <c r="E9" i="3"/>
  <c r="E51" i="4"/>
  <c r="F12" i="5"/>
  <c r="G19" i="5"/>
  <c r="E18" i="5"/>
  <c r="G10" i="5"/>
  <c r="F37" i="4"/>
  <c r="F3" i="5"/>
  <c r="E4" i="5"/>
  <c r="E3" i="5"/>
  <c r="D35" i="4"/>
  <c r="D27" i="2"/>
  <c r="E24" i="2"/>
  <c r="F42" i="1"/>
  <c r="E17" i="4"/>
  <c r="D25" i="2"/>
  <c r="E21" i="4"/>
  <c r="F5" i="4"/>
  <c r="F9" i="3"/>
  <c r="F23" i="2"/>
  <c r="D20" i="2"/>
  <c r="F8" i="5"/>
  <c r="E2" i="5"/>
  <c r="E4" i="2"/>
  <c r="F4" i="2"/>
  <c r="D53" i="4"/>
  <c r="E7" i="3"/>
  <c r="F45" i="4"/>
  <c r="E20" i="4"/>
  <c r="F14" i="4"/>
  <c r="E3" i="3"/>
  <c r="D43" i="4"/>
  <c r="D3" i="2"/>
  <c r="E15" i="5"/>
  <c r="F15" i="5"/>
  <c r="D26" i="2"/>
  <c r="F46" i="1"/>
  <c r="D7" i="4"/>
  <c r="F39" i="1"/>
  <c r="F58" i="4"/>
  <c r="E30" i="4"/>
  <c r="D6" i="3"/>
  <c r="F14" i="2"/>
  <c r="E13" i="4"/>
  <c r="G5" i="5"/>
  <c r="F6" i="5"/>
  <c r="F11" i="5"/>
  <c r="F18" i="5"/>
  <c r="G2" i="5"/>
  <c r="G11" i="5"/>
  <c r="G22" i="5"/>
  <c r="F54" i="4"/>
  <c r="E46" i="4"/>
  <c r="D31" i="4"/>
  <c r="E11" i="4"/>
  <c r="F21" i="4"/>
  <c r="G17" i="5"/>
  <c r="F9" i="5"/>
  <c r="F23" i="5"/>
  <c r="E16" i="5"/>
  <c r="E14" i="5"/>
  <c r="D17" i="4"/>
  <c r="F41" i="1"/>
  <c r="E15" i="2"/>
  <c r="E42" i="4"/>
  <c r="F14" i="3"/>
  <c r="E55" i="4"/>
  <c r="D29" i="4"/>
  <c r="E5" i="4"/>
  <c r="E14" i="3"/>
  <c r="F7" i="2"/>
  <c r="D44" i="4"/>
  <c r="F22" i="5"/>
  <c r="E10" i="5"/>
  <c r="E17" i="2"/>
  <c r="D28" i="4"/>
  <c r="F25" i="2"/>
  <c r="D57" i="4"/>
  <c r="D33" i="4"/>
  <c r="D13" i="4"/>
  <c r="D30" i="4"/>
  <c r="E10" i="2"/>
  <c r="F20" i="5"/>
  <c r="F5" i="5"/>
  <c r="F34" i="1"/>
  <c r="D10" i="3"/>
  <c r="F44" i="4"/>
  <c r="D32" i="4"/>
  <c r="E16" i="4"/>
  <c r="E4" i="3"/>
  <c r="E14" i="2"/>
  <c r="F16" i="2"/>
  <c r="E8" i="2"/>
  <c r="E11" i="5"/>
  <c r="E17" i="5"/>
  <c r="G16" i="5"/>
  <c r="E8" i="5"/>
  <c r="F6" i="4"/>
  <c r="G8" i="5"/>
  <c r="F14" i="5"/>
  <c r="D5" i="2"/>
  <c r="E32" i="4"/>
  <c r="F3" i="2"/>
  <c r="F42" i="4"/>
  <c r="F28" i="4"/>
  <c r="E2" i="4"/>
  <c r="D17" i="2"/>
  <c r="E12" i="4"/>
  <c r="D11" i="2"/>
  <c r="E23" i="5"/>
  <c r="F7" i="5"/>
  <c r="F10" i="5"/>
  <c r="F21" i="5"/>
  <c r="G13" i="5"/>
  <c r="E13" i="5"/>
  <c r="F13" i="5"/>
  <c r="F2" i="5"/>
  <c r="F17" i="5"/>
  <c r="E5" i="5"/>
  <c r="E15" i="4"/>
  <c r="F24" i="2"/>
  <c r="F22" i="4"/>
  <c r="E23" i="2"/>
  <c r="F51" i="4"/>
  <c r="E36" i="4"/>
  <c r="F16" i="4"/>
  <c r="E22" i="2"/>
  <c r="F19" i="2"/>
  <c r="F13" i="3"/>
  <c r="F19" i="5"/>
  <c r="G15" i="5"/>
  <c r="E9" i="2"/>
  <c r="D21" i="4"/>
  <c r="E53" i="4"/>
  <c r="E39" i="4"/>
  <c r="D7" i="3"/>
  <c r="D6" i="2"/>
  <c r="F12" i="4"/>
  <c r="F4" i="5"/>
  <c r="G3" i="5"/>
  <c r="E26" i="2"/>
  <c r="E52" i="4"/>
  <c r="F57" i="4"/>
  <c r="F25" i="4"/>
  <c r="D6" i="4"/>
  <c r="D24" i="2"/>
  <c r="E21" i="2"/>
  <c r="E33" i="4"/>
  <c r="E7" i="2"/>
  <c r="F16" i="5"/>
  <c r="G6" i="5"/>
  <c r="E22" i="5"/>
  <c r="G14" i="5"/>
  <c r="E12" i="2"/>
  <c r="G24" i="5"/>
  <c r="G20" i="5"/>
  <c r="F6" i="2"/>
  <c r="F11" i="4"/>
  <c r="F41" i="4"/>
  <c r="E19" i="4"/>
  <c r="F8" i="3"/>
  <c r="F21" i="2"/>
  <c r="D8" i="3"/>
  <c r="E7" i="5"/>
  <c r="E9" i="5"/>
  <c r="G12" i="5"/>
  <c r="E21" i="5"/>
  <c r="F24" i="5"/>
  <c r="N2" i="7"/>
  <c r="K34" i="1" l="1"/>
  <c r="K35" i="1"/>
  <c r="J5" i="1"/>
  <c r="J29" i="1"/>
  <c r="J21" i="1"/>
  <c r="J13" i="1"/>
  <c r="J28" i="1"/>
  <c r="J20" i="1"/>
  <c r="J12" i="1"/>
  <c r="J27" i="1"/>
  <c r="J23" i="1"/>
  <c r="J19" i="1"/>
  <c r="J15" i="1"/>
  <c r="J11" i="1"/>
  <c r="J7" i="1"/>
  <c r="J25" i="1"/>
  <c r="J17" i="1"/>
  <c r="J9" i="1"/>
  <c r="J24" i="1"/>
  <c r="J16" i="1"/>
  <c r="J8" i="1"/>
  <c r="J26" i="1"/>
  <c r="J22" i="1"/>
  <c r="J18" i="1"/>
  <c r="J14" i="1"/>
  <c r="J10" i="1"/>
  <c r="J6" i="1"/>
  <c r="K5" i="1"/>
  <c r="L5" i="1"/>
  <c r="L29" i="1"/>
  <c r="L23" i="1"/>
  <c r="L17" i="1"/>
  <c r="L11" i="1"/>
  <c r="K29" i="1"/>
  <c r="K27" i="1"/>
  <c r="K25" i="1"/>
  <c r="K23" i="1"/>
  <c r="K21" i="1"/>
  <c r="K19" i="1"/>
  <c r="K17" i="1"/>
  <c r="K15" i="1"/>
  <c r="K13" i="1"/>
  <c r="K11" i="1"/>
  <c r="K9" i="1"/>
  <c r="K7" i="1"/>
  <c r="L27" i="1"/>
  <c r="L21" i="1"/>
  <c r="L15" i="1"/>
  <c r="L7" i="1"/>
  <c r="L28" i="1"/>
  <c r="L26" i="1"/>
  <c r="L24" i="1"/>
  <c r="L22" i="1"/>
  <c r="L20" i="1"/>
  <c r="L18" i="1"/>
  <c r="L16" i="1"/>
  <c r="L14" i="1"/>
  <c r="L12" i="1"/>
  <c r="L10" i="1"/>
  <c r="L8" i="1"/>
  <c r="L6" i="1"/>
  <c r="L25" i="1"/>
  <c r="L19" i="1"/>
  <c r="L13" i="1"/>
  <c r="L9" i="1"/>
  <c r="K28" i="1"/>
  <c r="K26" i="1"/>
  <c r="K24" i="1"/>
  <c r="K22" i="1"/>
  <c r="K20" i="1"/>
  <c r="K18" i="1"/>
  <c r="K16" i="1"/>
  <c r="K14" i="1"/>
  <c r="K12" i="1"/>
  <c r="K10" i="1"/>
  <c r="K8" i="1"/>
  <c r="K6" i="1"/>
</calcChain>
</file>

<file path=xl/comments1.xml><?xml version="1.0" encoding="utf-8"?>
<comments xmlns="http://schemas.openxmlformats.org/spreadsheetml/2006/main">
  <authors>
    <author>DIRECCIONES</author>
  </authors>
  <commentList>
    <comment ref="B3" authorId="0" shapeId="0">
      <text>
        <r>
          <rPr>
            <b/>
            <sz val="9"/>
            <color indexed="81"/>
            <rFont val="Tahoma"/>
            <family val="2"/>
          </rPr>
          <t>DIRECCIONES:</t>
        </r>
        <r>
          <rPr>
            <sz val="9"/>
            <color indexed="81"/>
            <rFont val="Tahoma"/>
            <family val="2"/>
          </rPr>
          <t xml:space="preserve">
reingreso
</t>
        </r>
      </text>
    </comment>
  </commentList>
</comments>
</file>

<file path=xl/comments2.xml><?xml version="1.0" encoding="utf-8"?>
<comments xmlns="http://schemas.openxmlformats.org/spreadsheetml/2006/main">
  <authors>
    <author>DIRECCIONES</author>
  </authors>
  <commentList>
    <comment ref="B22" authorId="0" shapeId="0">
      <text>
        <r>
          <rPr>
            <b/>
            <sz val="9"/>
            <color indexed="81"/>
            <rFont val="Tahoma"/>
            <family val="2"/>
          </rPr>
          <t>DIRECCIONES:</t>
        </r>
        <r>
          <rPr>
            <sz val="9"/>
            <color indexed="81"/>
            <rFont val="Tahoma"/>
            <family val="2"/>
          </rPr>
          <t xml:space="preserve">
CHECAR ESCRITURA DE APELLIDO</t>
        </r>
      </text>
    </comment>
    <comment ref="B31" authorId="0" shapeId="0">
      <text>
        <r>
          <rPr>
            <b/>
            <sz val="9"/>
            <color indexed="81"/>
            <rFont val="Tahoma"/>
            <family val="2"/>
          </rPr>
          <t>DIRECCIONES:</t>
        </r>
        <r>
          <rPr>
            <sz val="9"/>
            <color indexed="81"/>
            <rFont val="Tahoma"/>
            <family val="2"/>
          </rPr>
          <t xml:space="preserve">
CHECAR APARECE 2 VECES SISTEMA WILBERT
</t>
        </r>
      </text>
    </comment>
    <comment ref="B32" authorId="0" shapeId="0">
      <text>
        <r>
          <rPr>
            <b/>
            <sz val="9"/>
            <color indexed="81"/>
            <rFont val="Tahoma"/>
            <family val="2"/>
          </rPr>
          <t>DIRECCIONES:</t>
        </r>
        <r>
          <rPr>
            <sz val="9"/>
            <color indexed="81"/>
            <rFont val="Tahoma"/>
            <family val="2"/>
          </rPr>
          <t xml:space="preserve">
CHECAR APARECE 2 VECES ARCHIVO DE WILBERT
</t>
        </r>
      </text>
    </comment>
  </commentList>
</comments>
</file>

<file path=xl/comments3.xml><?xml version="1.0" encoding="utf-8"?>
<comments xmlns="http://schemas.openxmlformats.org/spreadsheetml/2006/main">
  <authors>
    <author>UTC</author>
  </authors>
  <commentList>
    <comment ref="C6" authorId="0" shapeId="0">
      <text>
        <r>
          <rPr>
            <b/>
            <sz val="9"/>
            <color indexed="81"/>
            <rFont val="Tahoma"/>
            <family val="2"/>
          </rPr>
          <t>UTC:</t>
        </r>
        <r>
          <rPr>
            <sz val="9"/>
            <color indexed="81"/>
            <rFont val="Tahoma"/>
            <family val="2"/>
          </rPr>
          <t xml:space="preserve">
SE CAMBIO ESTABA EN GASTRO AHÍ SE MATRICULÓ
</t>
        </r>
      </text>
    </comment>
  </commentList>
</comments>
</file>

<file path=xl/comments4.xml><?xml version="1.0" encoding="utf-8"?>
<comments xmlns="http://schemas.openxmlformats.org/spreadsheetml/2006/main">
  <authors>
    <author>DIRECCIONES</author>
  </authors>
  <commentList>
    <comment ref="C9" authorId="0" shapeId="0">
      <text>
        <r>
          <rPr>
            <b/>
            <sz val="9"/>
            <color indexed="81"/>
            <rFont val="Tahoma"/>
            <family val="2"/>
          </rPr>
          <t>DIRECCIONES:</t>
        </r>
        <r>
          <rPr>
            <sz val="9"/>
            <color indexed="81"/>
            <rFont val="Tahoma"/>
            <family val="2"/>
          </rPr>
          <t xml:space="preserve">
REINGRESO EL 07 ENERO 2016
</t>
        </r>
      </text>
    </comment>
  </commentList>
</comments>
</file>

<file path=xl/sharedStrings.xml><?xml version="1.0" encoding="utf-8"?>
<sst xmlns="http://schemas.openxmlformats.org/spreadsheetml/2006/main" count="1373" uniqueCount="604">
  <si>
    <t>Matricula</t>
  </si>
  <si>
    <t>Alumno</t>
  </si>
  <si>
    <t>Nombre</t>
  </si>
  <si>
    <t>ApellidoPat</t>
  </si>
  <si>
    <t>ApellidoM</t>
  </si>
  <si>
    <t>CAAMAL</t>
  </si>
  <si>
    <t>LLANES</t>
  </si>
  <si>
    <t>CANCHE</t>
  </si>
  <si>
    <t>CASANOVA</t>
  </si>
  <si>
    <t>UUH</t>
  </si>
  <si>
    <t>CANUL</t>
  </si>
  <si>
    <t>MAY</t>
  </si>
  <si>
    <t>COUOH</t>
  </si>
  <si>
    <t>EK</t>
  </si>
  <si>
    <t>CARRILLO</t>
  </si>
  <si>
    <t>CHI</t>
  </si>
  <si>
    <t>PECH</t>
  </si>
  <si>
    <t>POOL</t>
  </si>
  <si>
    <t>JORGE ANTONIO</t>
  </si>
  <si>
    <t>RODRIGUEZ</t>
  </si>
  <si>
    <t>RUIZ</t>
  </si>
  <si>
    <t>TUN</t>
  </si>
  <si>
    <t>TTS</t>
  </si>
  <si>
    <t>ALCALA CASANOVA JOSE MIGUEL  </t>
  </si>
  <si>
    <t>ANGUAS LIZARRAGA DAVID ALONSO</t>
  </si>
  <si>
    <t>CANCHE CHULIM LUIS ENRIQUE</t>
  </si>
  <si>
    <t>CANUL CHAN ENRIQUE ALEJANDRO</t>
  </si>
  <si>
    <t>CHAN BORGES YAZURI MARISOL</t>
  </si>
  <si>
    <t>CHAN MOO YULEISY ALEJANDRA</t>
  </si>
  <si>
    <t>CHIN POOL MANUEL RICARDO</t>
  </si>
  <si>
    <t>DZUL CHAN KEILA YASUMI</t>
  </si>
  <si>
    <t>DZUL TUZ OSCAR FRANCISCO</t>
  </si>
  <si>
    <t>NUÑEZ RUIZ LUIS ENRIQUE</t>
  </si>
  <si>
    <t>PEREZ SANCHEZ DAVID  </t>
  </si>
  <si>
    <t>ApellidoP</t>
  </si>
  <si>
    <t>Carrera</t>
  </si>
  <si>
    <t>TTH</t>
  </si>
  <si>
    <t>ADRIAN MATU LIZBETH LIZANDRA</t>
  </si>
  <si>
    <t>ABAN CHAN JOSE AURELIO</t>
  </si>
  <si>
    <t>ADRIAN LLANES GENESIS NAZARET</t>
  </si>
  <si>
    <t>CHEL UICAB GERMAN EDUARDO</t>
  </si>
  <si>
    <t>DZUL CAAMAL ANAI DE JESUS</t>
  </si>
  <si>
    <t>ESTRELLA QUIJANO ERIC SALVADOR</t>
  </si>
  <si>
    <t>GARCIA BALAM MARIA ANGELICA</t>
  </si>
  <si>
    <t>MAY CHAN MERLY ALICIA</t>
  </si>
  <si>
    <t>PEREZ SANCHEZ SIMON  </t>
  </si>
  <si>
    <t>REJON CANUL GENIFER ANAI</t>
  </si>
  <si>
    <t>REJON CANUL ILSE VIRIDIANA</t>
  </si>
  <si>
    <t>SANCHEZ MAY MARLENY ARACELI</t>
  </si>
  <si>
    <t>TZUC CHAN ZAIRA IVONNE</t>
  </si>
  <si>
    <t>UC OXTE MARIA RAMONA NATIVIDAD</t>
  </si>
  <si>
    <t>B</t>
  </si>
  <si>
    <t>A</t>
  </si>
  <si>
    <t>LIZBETH LIZANDRA</t>
  </si>
  <si>
    <t>ADRIAN</t>
  </si>
  <si>
    <t>MATU</t>
  </si>
  <si>
    <t>JOSE MIGUEL  </t>
  </si>
  <si>
    <t>ALCALA</t>
  </si>
  <si>
    <t>DAVID ALONSO</t>
  </si>
  <si>
    <t>ANGUAS</t>
  </si>
  <si>
    <t>LIZARRAGA</t>
  </si>
  <si>
    <t>LUIS ENRIQUE</t>
  </si>
  <si>
    <t>CHULIM</t>
  </si>
  <si>
    <t>ENRIQUE ALEJANDRO</t>
  </si>
  <si>
    <t>CHAN</t>
  </si>
  <si>
    <t>YAZURI MARISOL</t>
  </si>
  <si>
    <t>BORGES</t>
  </si>
  <si>
    <t>YULEISY ALEJANDRA</t>
  </si>
  <si>
    <t>MOO</t>
  </si>
  <si>
    <t>MANUEL RICARDO</t>
  </si>
  <si>
    <t>CHIN</t>
  </si>
  <si>
    <t>KEILA YASUMI</t>
  </si>
  <si>
    <t>DZUL</t>
  </si>
  <si>
    <t>OSCAR FRANCISCO</t>
  </si>
  <si>
    <t>TUZ</t>
  </si>
  <si>
    <t>NUÑEZ</t>
  </si>
  <si>
    <t>DAVID  </t>
  </si>
  <si>
    <t>PEREZ</t>
  </si>
  <si>
    <t>SANCHEZ</t>
  </si>
  <si>
    <t>JOSE AURELIO</t>
  </si>
  <si>
    <t>ABAN</t>
  </si>
  <si>
    <t>GENESIS NAZARET</t>
  </si>
  <si>
    <t>GERMAN EDUARDO</t>
  </si>
  <si>
    <t>CHEL</t>
  </si>
  <si>
    <t>UICAB</t>
  </si>
  <si>
    <t>ANAI DE JESUS</t>
  </si>
  <si>
    <t>ERIC SALVADOR</t>
  </si>
  <si>
    <t>ESTRELLA</t>
  </si>
  <si>
    <t>QUIJANO</t>
  </si>
  <si>
    <t>MARIA ANGELICA</t>
  </si>
  <si>
    <t>GARCIA</t>
  </si>
  <si>
    <t>BALAM</t>
  </si>
  <si>
    <t>MERLY ALICIA</t>
  </si>
  <si>
    <t>SIMON  </t>
  </si>
  <si>
    <t>GENIFER ANAI</t>
  </si>
  <si>
    <t>REJON</t>
  </si>
  <si>
    <t>ILSE VIRIDIANA</t>
  </si>
  <si>
    <t>MARLENY ARACELI</t>
  </si>
  <si>
    <t>ZAIRA IVONNE</t>
  </si>
  <si>
    <t>TZUC</t>
  </si>
  <si>
    <t>MARIA RAMONA NATIVIDAD</t>
  </si>
  <si>
    <t>UC</t>
  </si>
  <si>
    <t>OXTE</t>
  </si>
  <si>
    <t>ALCOCER YAM MARTIN GUALBERTO</t>
  </si>
  <si>
    <t>BACAB CHAN DAYANNA LURIMAR</t>
  </si>
  <si>
    <t>CANCHE LOPEZ JULIO JOSE</t>
  </si>
  <si>
    <t>CHAN CASTAÑEDA RICARDO MANUEL</t>
  </si>
  <si>
    <t>CHAN XOOL LUIS ENRIQUE</t>
  </si>
  <si>
    <t>CIME CAUICH GASPAR ALEJANDRO</t>
  </si>
  <si>
    <t>JIMENEZ VALENCIA FABIAN</t>
  </si>
  <si>
    <t>MARIN TELLO MARCO ANTONIO</t>
  </si>
  <si>
    <t>MEDINA GONZALEZ ABEL EFRAIN</t>
  </si>
  <si>
    <t>PAT LLANOS GERARDO WALBERTO</t>
  </si>
  <si>
    <t>PEREZ SANCHEZ LUIS ALFREDO</t>
  </si>
  <si>
    <t>REJON BARBOSA PABLO MIGUEL</t>
  </si>
  <si>
    <t>UC DOMINGUEZ JULIO GABRIEL</t>
  </si>
  <si>
    <t>ApeMat</t>
  </si>
  <si>
    <t>ApePat</t>
  </si>
  <si>
    <t>TMI</t>
  </si>
  <si>
    <t>MARTIN GUALBERTO</t>
  </si>
  <si>
    <t>ALCOCER</t>
  </si>
  <si>
    <t>YAM</t>
  </si>
  <si>
    <t>DAYANNA LURIMAR</t>
  </si>
  <si>
    <t>BACAB</t>
  </si>
  <si>
    <t>JULIO JOSE</t>
  </si>
  <si>
    <t>LOPEZ</t>
  </si>
  <si>
    <t>RICARDO MANUEL</t>
  </si>
  <si>
    <t>CASTAÑEDA</t>
  </si>
  <si>
    <t>XOOL</t>
  </si>
  <si>
    <t>GASPAR ALEJANDRO</t>
  </si>
  <si>
    <t>CIME</t>
  </si>
  <si>
    <t>CAUICH</t>
  </si>
  <si>
    <t>FABIAN</t>
  </si>
  <si>
    <t>JIMENEZ</t>
  </si>
  <si>
    <t>VALENCIA</t>
  </si>
  <si>
    <t>MARCO ANTONIO</t>
  </si>
  <si>
    <t>MARIN</t>
  </si>
  <si>
    <t>TELLO</t>
  </si>
  <si>
    <t>ABEL EFRAIN</t>
  </si>
  <si>
    <t>MEDINA</t>
  </si>
  <si>
    <t>GONZALEZ</t>
  </si>
  <si>
    <t>GERARDO WALBERTO</t>
  </si>
  <si>
    <t>PAT</t>
  </si>
  <si>
    <t>LLANOS</t>
  </si>
  <si>
    <t>LUIS ALFREDO</t>
  </si>
  <si>
    <t>PABLO MIGUEL</t>
  </si>
  <si>
    <t>BARBOSA</t>
  </si>
  <si>
    <t>JULIO GABRIEL</t>
  </si>
  <si>
    <t>DOMINGUEZ</t>
  </si>
  <si>
    <t>AKE BEH MIGUEL ANGEL</t>
  </si>
  <si>
    <t>ALBORNOZ CHUC ZURELY NATIVIDAD</t>
  </si>
  <si>
    <t>ANQUINO AVILA JULIO CESAR</t>
  </si>
  <si>
    <t>CAN CANCHE EVELYN SINAI</t>
  </si>
  <si>
    <t>CAN MOO LOIDA MAGDALENA</t>
  </si>
  <si>
    <t>CASTRO ARJONA RAUL ALEJANDRO</t>
  </si>
  <si>
    <t>CHAN MAY ROGER ALBERTO</t>
  </si>
  <si>
    <t>CHI CANUL NANCY GUADALUPE</t>
  </si>
  <si>
    <t>CIME UC ROGER GUADALUPE</t>
  </si>
  <si>
    <t>CRESPO COLLI IASEL DEL MAR</t>
  </si>
  <si>
    <t>DZUL CANCHE ERIK EDIEL</t>
  </si>
  <si>
    <t>DZUL ORTIZ FRANCISCO ESTEBAN</t>
  </si>
  <si>
    <t>MARTIN BURGOS ALEJANDRA MICHELLE</t>
  </si>
  <si>
    <t>NAHUAT GONZALEZ FELIPE DE JESUS</t>
  </si>
  <si>
    <t>PERALTA MARTIN LORNA SAHAD</t>
  </si>
  <si>
    <t>UITZIL MAY ISAAC ISAI</t>
  </si>
  <si>
    <t>CAAMAL CHUC CRISTIAN ALEJANDRO</t>
  </si>
  <si>
    <t>CHUC MEZETA EDUARDO JAVIER</t>
  </si>
  <si>
    <t>COB TUT JOSE ENRIQUE</t>
  </si>
  <si>
    <t>COOL TZEC ELISA MARIA</t>
  </si>
  <si>
    <t>DZUL BRICEÑO MARIA NAYMA DIANELLY</t>
  </si>
  <si>
    <t>EUAN CAN ANA ESMERALDA</t>
  </si>
  <si>
    <t>GARCIA ESCALANTE ASAEL</t>
  </si>
  <si>
    <t>GARCIA PAT GUILLERMO  </t>
  </si>
  <si>
    <t>GONZALEZ CARO IRVIN JESUS</t>
  </si>
  <si>
    <t>GOROCICA CHE JULIANA ELIZABETH</t>
  </si>
  <si>
    <t>HERRERA RIOS REINA MARGARITA</t>
  </si>
  <si>
    <t>HUCHIM CANCHE ROGELIO ALEJANDRO</t>
  </si>
  <si>
    <t>MARTIN AC BRENDA ESMERALDA</t>
  </si>
  <si>
    <t>MAY UITZ JUAN PABLO</t>
  </si>
  <si>
    <t>MEX LEAL MARIA TERESA DE JESUS</t>
  </si>
  <si>
    <t>MEX TAMAY FRANCIS GUADALUPE</t>
  </si>
  <si>
    <t>MEZETA LOPEZ PABLO ISMAEL</t>
  </si>
  <si>
    <t>PECH CAUICH CRISTIAN ERNESTO</t>
  </si>
  <si>
    <t>SALAS ORDOÑEZ JARED ABRIL</t>
  </si>
  <si>
    <t>SANSORES COB JOSE RODOLFO</t>
  </si>
  <si>
    <t>TUZ TUN SELMY LUCIA</t>
  </si>
  <si>
    <t>BORGES PECH GERARDO ISMAEL</t>
  </si>
  <si>
    <t>CAN MEDINA REYNA AIDA VIRGINIA</t>
  </si>
  <si>
    <t>CANCHE MOGUEL FELIPE GABRIEL</t>
  </si>
  <si>
    <t>CANUL POOL EDUARDO GERARDO</t>
  </si>
  <si>
    <t>CHALE EUAN MILDRED ANGELICA</t>
  </si>
  <si>
    <t>CHAN COUOH JOSE LUIS</t>
  </si>
  <si>
    <t>CHAN GAMBOA SILVIA CAROLINA</t>
  </si>
  <si>
    <t>OJEDA SARABIA JOSE LUIS</t>
  </si>
  <si>
    <t>PARRA PECH KARLA GUADALUPE</t>
  </si>
  <si>
    <t>PECH PECH JUAN CARLOS</t>
  </si>
  <si>
    <t>PEÑA TEC ARMANDO ALEJANDRO</t>
  </si>
  <si>
    <t>QUINTAL CETZAL SANTIAGO EDUARDO</t>
  </si>
  <si>
    <t>REYES CHAN MANUEL DE JESUS</t>
  </si>
  <si>
    <t>SANTIAGO RODRIGUEZ ARELY GUADALUPE</t>
  </si>
  <si>
    <t>SANTOS VALLADARES ZELMY GUADALUPE</t>
  </si>
  <si>
    <t>SEL PECH ROYER ALFREDO</t>
  </si>
  <si>
    <t>TUN PEREZ LAURA PATRICIA</t>
  </si>
  <si>
    <t>TZAB CANTE MILDRED GISELLY</t>
  </si>
  <si>
    <t>YAM DZIB JUAN CARLOS</t>
  </si>
  <si>
    <t>MATRICULA</t>
  </si>
  <si>
    <t>TGA</t>
  </si>
  <si>
    <t>ARGAEZ QUIJANO JORGE ANTONIO</t>
  </si>
  <si>
    <t>CASTRO KOH JORGE CARLOS</t>
  </si>
  <si>
    <t>DZIB CIME LINA SALMAI</t>
  </si>
  <si>
    <t>DZIB EK JOSUE DAVID</t>
  </si>
  <si>
    <t>DZUL BEH MANUEL DE JESUS</t>
  </si>
  <si>
    <t>EK EB EDWIN ISAI</t>
  </si>
  <si>
    <t>EK MAY EDDIEL ABRAHAM</t>
  </si>
  <si>
    <t>JIMENEZ PECH YESSICA NATALY</t>
  </si>
  <si>
    <t>KUK CHAN JOSUE HILARIO</t>
  </si>
  <si>
    <t>LLANES CANUL EUNICE SARAI</t>
  </si>
  <si>
    <t>MIS HAU JULIA BEATRIZ</t>
  </si>
  <si>
    <t>MORENO  EK ARELY MARGARITA</t>
  </si>
  <si>
    <t xml:space="preserve">NAVARRETE TUN PEDRO JOAQUIN </t>
  </si>
  <si>
    <t>NOH CHABLE ANDRES JEREMIAS</t>
  </si>
  <si>
    <t>PACHECO EK ISSAC NOLBERTO</t>
  </si>
  <si>
    <t>PECH CHAN ALEJANDRO DE JESUS</t>
  </si>
  <si>
    <t>PECH ESTRELLA JUAN CARLOS</t>
  </si>
  <si>
    <t>PECH KU FRANCISCO DAVID</t>
  </si>
  <si>
    <t>RODRIGUEZ MEZQUITA DAYANNE ALEJANDRA</t>
  </si>
  <si>
    <t>TORRES UC JOAQUIN ADRIAN</t>
  </si>
  <si>
    <t>TUN  IUIT TOMAS MARTINIANO</t>
  </si>
  <si>
    <t>TZUC UICAB JHOSMAR MAXIMO</t>
  </si>
  <si>
    <t>XEQUE PECH CARLOS MANUEL</t>
  </si>
  <si>
    <t>idCarrera</t>
  </si>
  <si>
    <t>pass</t>
  </si>
  <si>
    <t>GradoActual</t>
  </si>
  <si>
    <t>GrupoActual</t>
  </si>
  <si>
    <t>BT</t>
  </si>
  <si>
    <t>BD</t>
  </si>
  <si>
    <t>CAN EK PENIEL SINAI</t>
  </si>
  <si>
    <t>CANCHE MAY MARIANA ANGELICA</t>
  </si>
  <si>
    <t>CANCHE YAMA XEILA GUADALUPE</t>
  </si>
  <si>
    <t>CATZIM MENDOZA JESUS ROBERTO</t>
  </si>
  <si>
    <t>CHAN PAT GEIDY ROCIO</t>
  </si>
  <si>
    <t>DZIB PECH SUSAN RUBI</t>
  </si>
  <si>
    <t>EK  PAT LEYDI KARINA</t>
  </si>
  <si>
    <t>ESCOBEDO HERRERA JUAN RICARDO</t>
  </si>
  <si>
    <t>HU OXTE CHRISTOPHER NEFTALI</t>
  </si>
  <si>
    <t>KUK LUGO JESUS EMMANUEL</t>
  </si>
  <si>
    <t>MASSA LEAL FRIDA ISAURA</t>
  </si>
  <si>
    <t>MAY SOLIS ADIEL GAMALIEL</t>
  </si>
  <si>
    <t>NOH CABRERA MERARI ARIDAI</t>
  </si>
  <si>
    <t>REJON PECH ERIK JADIEL</t>
  </si>
  <si>
    <t>SARAS COHUO MARITERE</t>
  </si>
  <si>
    <t>TEC  CANUL VIANEY DEL CARMEN</t>
  </si>
  <si>
    <t>TUZ TEC LESLY SARAI</t>
  </si>
  <si>
    <t>UICAB CANCHE JOSE MIGUEL</t>
  </si>
  <si>
    <t>XOCHIPA AKE PERLA</t>
  </si>
  <si>
    <t>TTH-2A</t>
  </si>
  <si>
    <t>AKE BAAS ZELTSIN NICHOLLE</t>
  </si>
  <si>
    <t>CANCHE CARDENAS LIDIA SARAI</t>
  </si>
  <si>
    <t>CANUL TEC DELMI ANGELICA</t>
  </si>
  <si>
    <t>CHAN EK YAREMI YARETH</t>
  </si>
  <si>
    <t>CHUC DOMINGUEZ MARITERE DE JESUS</t>
  </si>
  <si>
    <t>EK EK HERMENEGILDA CONCEPCION</t>
  </si>
  <si>
    <t>FRANCO PUERTO MATEO ABEL</t>
  </si>
  <si>
    <t>KU DZUL KAREN NAOMY</t>
  </si>
  <si>
    <t>MARTINEZ RODRIGUEZ FRANCISCO JAVIER</t>
  </si>
  <si>
    <t>MOO UC ROCIO GUADALUPE</t>
  </si>
  <si>
    <t>NOH EK MARIA GUADALUPE</t>
  </si>
  <si>
    <t>PUC CHAN LUISA LINETH</t>
  </si>
  <si>
    <t>SIMA TUYUB KARINA NATIVIDAD</t>
  </si>
  <si>
    <t>UCAN  MOO ERIK ALEJANDRO</t>
  </si>
  <si>
    <t>VALENCIA DOMINGUEZ MERCY AYAMI</t>
  </si>
  <si>
    <t>ZALDIVAR OXTE ALONDRA KARINA</t>
  </si>
  <si>
    <t>TTH-2B</t>
  </si>
  <si>
    <t>ADRIAN LLANES JUAN ADIEL</t>
  </si>
  <si>
    <t>BAAS AZCORRA JESSICA DEL CARMEN</t>
  </si>
  <si>
    <t>CHAN UC JESUS FRANCISCO</t>
  </si>
  <si>
    <t>DZUL ARAGON ANTONIO CONCEPCIÓN</t>
  </si>
  <si>
    <t>ESQUIVEL CABRERA JOSE RODOLFO</t>
  </si>
  <si>
    <t>EUAN MARTINEZ MOISES ESAU</t>
  </si>
  <si>
    <t>HU POOL DIDIER ALDAIR</t>
  </si>
  <si>
    <t>MAY CONTRERAS ALDO ISRAEL</t>
  </si>
  <si>
    <t>PATRICIO KOO DAVID GEREMIAS</t>
  </si>
  <si>
    <t>POOL UICAB JUAN</t>
  </si>
  <si>
    <t>POOT POOL ARGENIS ISAIAS</t>
  </si>
  <si>
    <t>REJON DZIB RAMON DANIEL</t>
  </si>
  <si>
    <t>TMI-2A</t>
  </si>
  <si>
    <t>ABAN POOL YNNEL ANAELI</t>
  </si>
  <si>
    <t>ALCOCER CEBALLOS GONZALO JESUS</t>
  </si>
  <si>
    <t>BALAM  TAMAYO MARIA ELENA</t>
  </si>
  <si>
    <t>BALAM UH IRVIN ADRIAN</t>
  </si>
  <si>
    <t>BASTO CASTILLO MERCY ESTEFANIA</t>
  </si>
  <si>
    <t>CAN EK MARCOS EMANUEL</t>
  </si>
  <si>
    <t>CANCHE LLANOS JOSE ELIEL</t>
  </si>
  <si>
    <t>CANUL GONZALEZ TERESA ISABEL</t>
  </si>
  <si>
    <t>CAUICH MOO ISIDRA NOEMI</t>
  </si>
  <si>
    <t>CEN CHAN CESAR ANTONIO</t>
  </si>
  <si>
    <t>CHAN POOL GUADALUPE BEATRIZ</t>
  </si>
  <si>
    <t>CHAY MALDONADO MARIA DE LOS ANGELES</t>
  </si>
  <si>
    <t>CHI GUTIERREZ JOSE OCTAVIO</t>
  </si>
  <si>
    <t>COB COX LISSET YANELLI</t>
  </si>
  <si>
    <t>DZIB SANTOS ELMER BENJAMIN</t>
  </si>
  <si>
    <t>GALLEGOS BAUTISTA CESAR</t>
  </si>
  <si>
    <t>HUH EUAN REYES DAVID</t>
  </si>
  <si>
    <t>MATA SEGURA MIGUEL ANGEL</t>
  </si>
  <si>
    <t>MEDINA AKE GUILLERMO ENRIQUE</t>
  </si>
  <si>
    <t>MEX HAU MAYTE GUADALUPE</t>
  </si>
  <si>
    <t>MOO DZUL IRIS ARLENI</t>
  </si>
  <si>
    <t>NOH CHALE VANESSA BEATRIZ</t>
  </si>
  <si>
    <t>NOVELO SEGURA ANGELES VICTORIA</t>
  </si>
  <si>
    <t>OXTE SALAS ANGEL HERVE</t>
  </si>
  <si>
    <t>PECH PERAZA MARIA CELESTE</t>
  </si>
  <si>
    <t>PUC MONTOY JORGE ALBERTO</t>
  </si>
  <si>
    <t>SALAZAR PERAZA NAYELI CAROLINA</t>
  </si>
  <si>
    <t>SUASTE TUYUB SELENE GUADALUPE</t>
  </si>
  <si>
    <t>UICAB BASTO NAYLA GUADALUPE</t>
  </si>
  <si>
    <t>YAM UICAB MAYRON CATHERE</t>
  </si>
  <si>
    <t>TGA-2A</t>
  </si>
  <si>
    <t>BAAS MAY MARIA JOSE</t>
  </si>
  <si>
    <t>BACAB CHAN RAMGEL FRANCISCO</t>
  </si>
  <si>
    <t>BALAM MAY YENIFER MICHEL</t>
  </si>
  <si>
    <t>CAMPOS CHABLE RAMIRO DE JESUS</t>
  </si>
  <si>
    <t>CANCHE EK EDUARDO ALEXIS</t>
  </si>
  <si>
    <t>CANCHE MARTIN LUIS ANTONIO</t>
  </si>
  <si>
    <t>CANCHE MUÑOZ MARYLU DEL CARMEN</t>
  </si>
  <si>
    <t>CAUICH KU MANUEL JESUS</t>
  </si>
  <si>
    <t>CETZ DZUL ERICA ANAHI</t>
  </si>
  <si>
    <t>CHAY MARRUFO JORDY LEOBARDO</t>
  </si>
  <si>
    <t>CHEL CARBAJAL KARIME AMAIRANI</t>
  </si>
  <si>
    <t>CHIM EB ADRIANA YAQUELIN</t>
  </si>
  <si>
    <t>CORAL COB CINDY CAROLINA</t>
  </si>
  <si>
    <t>DZUL CANCHE ESLI SINAI</t>
  </si>
  <si>
    <t>ECHEVERRIA CHEL DIEGO RONALDO</t>
  </si>
  <si>
    <t>GAMBOA VERDE EDGAR ANTONIO</t>
  </si>
  <si>
    <t>GIL BRICEÑO YEYMI GUADALUPE</t>
  </si>
  <si>
    <t>HERNANDEZ UC LIZET CRISTEL</t>
  </si>
  <si>
    <t>MARTINEZ NAVARRO ESTHER EUGENIA</t>
  </si>
  <si>
    <t>MAY DZUL ARIANI DEL ROSARIO</t>
  </si>
  <si>
    <t>MONTALVO LEAL DENALY ROSALIA</t>
  </si>
  <si>
    <t>MOO DIAZ ALEXIA LISSETT</t>
  </si>
  <si>
    <t>NADAL ANGULO JOSE ROBERTO</t>
  </si>
  <si>
    <t>NOH POOL LAURA PATRICIA</t>
  </si>
  <si>
    <t>NOVELO KEB LUIS ALBERTO</t>
  </si>
  <si>
    <t>OJEDA BALAM MERLLY GUADALUPE</t>
  </si>
  <si>
    <t>PECH CHAN WILBERTH EDUARDO</t>
  </si>
  <si>
    <t>PECH GOMEZ RIJANY ANAHI</t>
  </si>
  <si>
    <t xml:space="preserve">PERAZA UC JOSE ARCENIO </t>
  </si>
  <si>
    <t>SEL CHALE GEOVANI RODRIGO</t>
  </si>
  <si>
    <t>SUAREZ CHAN CARLOS ENRIQUE</t>
  </si>
  <si>
    <t>TAMAYO CUEVAS JOEL DE JESUS</t>
  </si>
  <si>
    <t>VILLEGAS CETINA HEECELY JUANITA</t>
  </si>
  <si>
    <t>TGA-2B</t>
  </si>
  <si>
    <t>Tipo</t>
  </si>
  <si>
    <t>Ponderado</t>
  </si>
  <si>
    <t>I</t>
  </si>
  <si>
    <t>BAAS KAUIL EDUARDO</t>
  </si>
  <si>
    <t>CAAMAL HERNANDEZ JACOB ALFREDO</t>
  </si>
  <si>
    <t>CANCHE CANUL DAMIAN ISRAEL</t>
  </si>
  <si>
    <t>CANUL BALAM JOSE LUIS</t>
  </si>
  <si>
    <t>CHAN CAAMAL JESUS FRANCISCO</t>
  </si>
  <si>
    <t>CHAN CHI CRISTIAN DANIEL</t>
  </si>
  <si>
    <t>COCOM BE MIGUEL ANGEL</t>
  </si>
  <si>
    <t>COUOH PANTOJA ABRIL DE JESUS</t>
  </si>
  <si>
    <t>EK CAUICH JORGE DANIEL</t>
  </si>
  <si>
    <t>EUAN CARRILLO CHRISTIAN ENRIQUE</t>
  </si>
  <si>
    <t>EUAN RAMIREZ ANGEL ADOLFO</t>
  </si>
  <si>
    <t>HAU UICAB JOSE ANTONIO</t>
  </si>
  <si>
    <t>MAAS CHI JORGE ALEJANDRO</t>
  </si>
  <si>
    <t>MATU CHAY SANTOS RICARDO</t>
  </si>
  <si>
    <t>MAY KOYOC JESUS ALEXANDRO</t>
  </si>
  <si>
    <t>MAY KU SERGIO ARMANDO</t>
  </si>
  <si>
    <t>MORENO VILLEGAS JESUS ERNESTO</t>
  </si>
  <si>
    <t>PACHECO PEREZ JAIR DESAILLY</t>
  </si>
  <si>
    <t>PINZON OXTE BRANDO EMMANUEL</t>
  </si>
  <si>
    <t>PUERTO CARO MAURICIO EDUARDO</t>
  </si>
  <si>
    <t>RUIZ POOT MICHEL ESMERALDA</t>
  </si>
  <si>
    <t>SANCHEZ TUN LUIS FERNANDO</t>
  </si>
  <si>
    <t>UC CAAMAL ERICK LIZANDRO</t>
  </si>
  <si>
    <t>VALLADARES CANCHE ABIGAIL DE LA CRUZ</t>
  </si>
  <si>
    <t>VERDE VEGA RENE ENRIQUE</t>
  </si>
  <si>
    <t>Matrícula</t>
  </si>
  <si>
    <t>EDUARDO</t>
  </si>
  <si>
    <t>JACOB ALFREDO</t>
  </si>
  <si>
    <t>DAMIAN ISRAEL</t>
  </si>
  <si>
    <t>JOSE LUIS</t>
  </si>
  <si>
    <t>JESUS FRANCISCO</t>
  </si>
  <si>
    <t>CRISTIAN DANIEL</t>
  </si>
  <si>
    <t>MIGUEL ANGEL</t>
  </si>
  <si>
    <t>ABRIL DE JESUS</t>
  </si>
  <si>
    <t>JORGE DANIEL</t>
  </si>
  <si>
    <t>CHRISTIAN ENRIQUE</t>
  </si>
  <si>
    <t>ANGEL ADOLFO</t>
  </si>
  <si>
    <t>JOSE ANTONIO</t>
  </si>
  <si>
    <t>JORGE ALEJANDRO</t>
  </si>
  <si>
    <t>SANTOS RICARDO</t>
  </si>
  <si>
    <t>JESUS ALEXANDRO</t>
  </si>
  <si>
    <t>SERGIO ARMANDO</t>
  </si>
  <si>
    <t>JESUS ERNESTO</t>
  </si>
  <si>
    <t>JAIR DESAILLY</t>
  </si>
  <si>
    <t>BRANDO EMMANUEL</t>
  </si>
  <si>
    <t>MAURICIO EDUARDO</t>
  </si>
  <si>
    <t>MICHEL ESMERALDA</t>
  </si>
  <si>
    <t>LUIS FERNANDO</t>
  </si>
  <si>
    <t>BAAS</t>
  </si>
  <si>
    <t>COCOM</t>
  </si>
  <si>
    <t>EUAN</t>
  </si>
  <si>
    <t>HAU</t>
  </si>
  <si>
    <t>MAAS</t>
  </si>
  <si>
    <t>MORENO</t>
  </si>
  <si>
    <t>PACHECO</t>
  </si>
  <si>
    <t>PINZON</t>
  </si>
  <si>
    <t>PUERTO</t>
  </si>
  <si>
    <t>KAUIL</t>
  </si>
  <si>
    <t>HERNANDEZ</t>
  </si>
  <si>
    <t>BE</t>
  </si>
  <si>
    <t>PANTOJA</t>
  </si>
  <si>
    <t>RAMIREZ</t>
  </si>
  <si>
    <t>CHAY</t>
  </si>
  <si>
    <t>KOYOC</t>
  </si>
  <si>
    <t>KU</t>
  </si>
  <si>
    <t>VILLEGAS</t>
  </si>
  <si>
    <t>CARO</t>
  </si>
  <si>
    <t>POOT</t>
  </si>
  <si>
    <t>IdCarrera</t>
  </si>
  <si>
    <t>Pass</t>
  </si>
  <si>
    <t>gradoa</t>
  </si>
  <si>
    <t>grupoa</t>
  </si>
  <si>
    <t>bt</t>
  </si>
  <si>
    <t>bd</t>
  </si>
  <si>
    <t>egresado</t>
  </si>
  <si>
    <t>CARRERA</t>
  </si>
  <si>
    <t xml:space="preserve">Grado </t>
  </si>
  <si>
    <t>Grupo</t>
  </si>
  <si>
    <t>TTS-2A</t>
  </si>
  <si>
    <t>@Utc17211197</t>
  </si>
  <si>
    <t>@Utc17211199</t>
  </si>
  <si>
    <t>@Utc17211202</t>
  </si>
  <si>
    <t>@Utc17211204</t>
  </si>
  <si>
    <t>@Utc17211208</t>
  </si>
  <si>
    <t>@Utc17211210</t>
  </si>
  <si>
    <t>@Utc17211212</t>
  </si>
  <si>
    <t>@Utc17211214</t>
  </si>
  <si>
    <t>@Utc17211216</t>
  </si>
  <si>
    <t>@Utc17211218</t>
  </si>
  <si>
    <t>@Utc17211220</t>
  </si>
  <si>
    <t>@Utc17211222</t>
  </si>
  <si>
    <t>@Utc17211224</t>
  </si>
  <si>
    <t>@Utc17211226</t>
  </si>
  <si>
    <t>@Utc17211228</t>
  </si>
  <si>
    <t>@Utc17211230</t>
  </si>
  <si>
    <t>@Utc17211233</t>
  </si>
  <si>
    <t>@Utc17211235</t>
  </si>
  <si>
    <t>@Utc17211237</t>
  </si>
  <si>
    <t>@Utc17211239</t>
  </si>
  <si>
    <t>@Utc17211241</t>
  </si>
  <si>
    <t>@Utc17211243</t>
  </si>
  <si>
    <t>ERICK LIZANDRO</t>
  </si>
  <si>
    <t>@Utc17211245</t>
  </si>
  <si>
    <t>ABIGAIL DE LA CRUZ</t>
  </si>
  <si>
    <t>VALLADARES</t>
  </si>
  <si>
    <t>@Utc17211247</t>
  </si>
  <si>
    <t>RENE ENRIQUE</t>
  </si>
  <si>
    <t>VERDE</t>
  </si>
  <si>
    <t>VEGA</t>
  </si>
  <si>
    <t>@Utc17211249</t>
  </si>
  <si>
    <t>AKE MEZETA LITZY AYLIN</t>
  </si>
  <si>
    <t>BEH YAM MIGUEL ARCÁNGEL</t>
  </si>
  <si>
    <t>CAMPOS TEC SAUL ISAIAS</t>
  </si>
  <si>
    <t>CANCHE KEB JOSE WILFRIDO</t>
  </si>
  <si>
    <t>CEN MORENO JESUS MARTIN</t>
  </si>
  <si>
    <t>CIAU KAUIL ALEJANDRO ABRAHAM</t>
  </si>
  <si>
    <t>COCOM COCOM SANTOS DOMINGO</t>
  </si>
  <si>
    <t>DZIB EK JOSUÉ DAVID</t>
  </si>
  <si>
    <t>EB SANTOS RONALDO DOMINGO</t>
  </si>
  <si>
    <t>EUAN POOT ESTEBAN DE JESUS</t>
  </si>
  <si>
    <t>GOMEZ FRIAS MARIA GUADALUPE</t>
  </si>
  <si>
    <t>KU PECH JESSICA DEL ROSARIO</t>
  </si>
  <si>
    <t>MAY CHAN JOHAN OMAR</t>
  </si>
  <si>
    <t>MAY KOYOC JORGE ARMANDO</t>
  </si>
  <si>
    <t>MENA TAMAY NELSI LETICIA</t>
  </si>
  <si>
    <t>MORENO IX MARTHA BEATRIZ</t>
  </si>
  <si>
    <t>NOVELO MIS SERGIO ALEJANDRO</t>
  </si>
  <si>
    <t>PECH KANTUN MIGUEL ANGEL</t>
  </si>
  <si>
    <t>POOT VENANCIO JORGE ALEJANDRO</t>
  </si>
  <si>
    <t>TAMAYO CHAN MARIA GUADALUPE DE JESUS</t>
  </si>
  <si>
    <t>UUH MAY FELIPE DE JESUS</t>
  </si>
  <si>
    <t>TTS-2B</t>
  </si>
  <si>
    <t>LITZY AYLIN</t>
  </si>
  <si>
    <t>AKE</t>
  </si>
  <si>
    <t>MEZETA</t>
  </si>
  <si>
    <t>@Utc17311331</t>
  </si>
  <si>
    <t>MIGUEL ARCÁNGEL</t>
  </si>
  <si>
    <t>BEH</t>
  </si>
  <si>
    <t>@Utc17211198</t>
  </si>
  <si>
    <t>SAUL ISAIAS</t>
  </si>
  <si>
    <t>CAMPOS</t>
  </si>
  <si>
    <t>TEC</t>
  </si>
  <si>
    <t>@Utc17211200</t>
  </si>
  <si>
    <t>JOSE WILFRIDO</t>
  </si>
  <si>
    <t>KEB</t>
  </si>
  <si>
    <t>@Utc17211203</t>
  </si>
  <si>
    <t>JESUS MARTIN</t>
  </si>
  <si>
    <t>CEN</t>
  </si>
  <si>
    <t>@Utc17211207</t>
  </si>
  <si>
    <t>ALEJANDRO ABRAHAM</t>
  </si>
  <si>
    <t>CIAU</t>
  </si>
  <si>
    <t>@Utc17211211</t>
  </si>
  <si>
    <t>SANTOS DOMINGO</t>
  </si>
  <si>
    <t>@Utc17211213</t>
  </si>
  <si>
    <t>JOSUÉ DAVID</t>
  </si>
  <si>
    <t>DZIB</t>
  </si>
  <si>
    <t>@Utc16211007</t>
  </si>
  <si>
    <t>RONALDO DOMINGO</t>
  </si>
  <si>
    <t>EB</t>
  </si>
  <si>
    <t>SANTOS</t>
  </si>
  <si>
    <t>@Utc17211215</t>
  </si>
  <si>
    <t>ESTEBAN DE JESUS</t>
  </si>
  <si>
    <t>@Utc17211219</t>
  </si>
  <si>
    <t>MARIA GUADALUPE</t>
  </si>
  <si>
    <t>GOMEZ</t>
  </si>
  <si>
    <t>FRIAS</t>
  </si>
  <si>
    <t>@Utc17211221</t>
  </si>
  <si>
    <t>JESSICA DEL ROSARIO</t>
  </si>
  <si>
    <t>@Utc17211223</t>
  </si>
  <si>
    <t>JOHAN OMAR</t>
  </si>
  <si>
    <t>@Utc17211227</t>
  </si>
  <si>
    <t>JORGE ARMANDO</t>
  </si>
  <si>
    <t>@Utc17211229</t>
  </si>
  <si>
    <t>NELSI LETICIA</t>
  </si>
  <si>
    <t>MENA</t>
  </si>
  <si>
    <t>TAMAY</t>
  </si>
  <si>
    <t>@Utc17211231</t>
  </si>
  <si>
    <t>MARTHA BEATRIZ</t>
  </si>
  <si>
    <t>IX</t>
  </si>
  <si>
    <t>@Utc17211232</t>
  </si>
  <si>
    <t>SERGIO ALEJANDRO</t>
  </si>
  <si>
    <t>NOVELO</t>
  </si>
  <si>
    <t>MIS</t>
  </si>
  <si>
    <t>@Utc17211234</t>
  </si>
  <si>
    <t>JUAN CARLOS</t>
  </si>
  <si>
    <t>@Utc16211022</t>
  </si>
  <si>
    <t>KANTUN</t>
  </si>
  <si>
    <t>@Utc17211236</t>
  </si>
  <si>
    <t>VENANCIO</t>
  </si>
  <si>
    <t>@Utc17211238</t>
  </si>
  <si>
    <t>MARIA GUADALUPE DE JESUS</t>
  </si>
  <si>
    <t>TAMAYO</t>
  </si>
  <si>
    <t>@Utc17211244</t>
  </si>
  <si>
    <t>FELIPE DE JESUS</t>
  </si>
  <si>
    <t>@Utc17211246</t>
  </si>
  <si>
    <t>RODRIGUEZ UCAN WILLIAM JOSUE</t>
  </si>
  <si>
    <t>TTS-5A</t>
  </si>
  <si>
    <t>ARGAEZ</t>
  </si>
  <si>
    <t>@Utc16211002</t>
  </si>
  <si>
    <t>JORGE CARLOS</t>
  </si>
  <si>
    <t>CASTRO</t>
  </si>
  <si>
    <t>KOH</t>
  </si>
  <si>
    <t>@Utc16211004</t>
  </si>
  <si>
    <t>LINA SALMAI</t>
  </si>
  <si>
    <t>@Utc16211006</t>
  </si>
  <si>
    <t>MANUEL DE JESUS</t>
  </si>
  <si>
    <t>@Utc16211008</t>
  </si>
  <si>
    <t>EDWIN ISAI</t>
  </si>
  <si>
    <t>@Utc16211009</t>
  </si>
  <si>
    <t>EDDIEL ABRAHAM</t>
  </si>
  <si>
    <t>@Utc16211010</t>
  </si>
  <si>
    <t>YESSICA NATALY</t>
  </si>
  <si>
    <t>@Utc16211011</t>
  </si>
  <si>
    <t>JOSUE HILARIO</t>
  </si>
  <si>
    <t>KUK</t>
  </si>
  <si>
    <t>@Utc16211012</t>
  </si>
  <si>
    <t>EUNICE SARAI</t>
  </si>
  <si>
    <t>@Utc16211013</t>
  </si>
  <si>
    <t>JULIA BEATRIZ</t>
  </si>
  <si>
    <t>@Utc16211015</t>
  </si>
  <si>
    <t>EK ARELY MARGARITA</t>
  </si>
  <si>
    <t>@Utc16211017</t>
  </si>
  <si>
    <t xml:space="preserve">PEDRO JOAQUIN </t>
  </si>
  <si>
    <t>NAVARRETE</t>
  </si>
  <si>
    <t>@Utc16211018</t>
  </si>
  <si>
    <t>ANDRES JEREMIAS</t>
  </si>
  <si>
    <t>NOH</t>
  </si>
  <si>
    <t>CHABLE</t>
  </si>
  <si>
    <t>@Utc16211019</t>
  </si>
  <si>
    <t>ISSAC NOLBERTO</t>
  </si>
  <si>
    <t>@Utc16211020</t>
  </si>
  <si>
    <t>FRANCISCO DAVID</t>
  </si>
  <si>
    <t>@Utc16211023</t>
  </si>
  <si>
    <t>DAYANNE ALEJANDRA</t>
  </si>
  <si>
    <t>MEZQUITA</t>
  </si>
  <si>
    <t>@Utc16211024</t>
  </si>
  <si>
    <t>WILLIAM JOSUE</t>
  </si>
  <si>
    <t>UCAN</t>
  </si>
  <si>
    <t>@Utc17211160</t>
  </si>
  <si>
    <t>JOAQUIN ADRIAN</t>
  </si>
  <si>
    <t>TORRES</t>
  </si>
  <si>
    <t>@Utc16211025</t>
  </si>
  <si>
    <t>IUIT TOMAS MARTINIANO</t>
  </si>
  <si>
    <t>IUIT</t>
  </si>
  <si>
    <t>@Utc16211026</t>
  </si>
  <si>
    <t>JHOSMAR MAXIMO</t>
  </si>
  <si>
    <t>@Utc16211027</t>
  </si>
  <si>
    <t>CARLOS MANUEL</t>
  </si>
  <si>
    <t>XEQUE</t>
  </si>
  <si>
    <t>@Utc16211028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</si>
</sst>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0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 vertical="center"/>
    </xf>
    <xf numFmtId="0" fontId="0" fillId="3" borderId="1" xfId="0" applyFont="1" applyFill="1" applyBorder="1" applyAlignment="1">
      <alignment horizontal="center"/>
    </xf>
    <xf numFmtId="0" fontId="1" fillId="4" borderId="2" xfId="0" applyFont="1" applyFill="1" applyBorder="1" applyAlignment="1">
      <alignment vertical="center" wrapText="1"/>
    </xf>
    <xf numFmtId="0" fontId="0" fillId="4" borderId="2" xfId="0" applyFont="1" applyFill="1" applyBorder="1" applyAlignment="1">
      <alignment horizontal="center"/>
    </xf>
    <xf numFmtId="0" fontId="1" fillId="5" borderId="2" xfId="0" applyFont="1" applyFill="1" applyBorder="1" applyAlignment="1">
      <alignment vertical="center" wrapText="1"/>
    </xf>
    <xf numFmtId="0" fontId="0" fillId="5" borderId="2" xfId="0" applyFont="1" applyFill="1" applyBorder="1" applyAlignment="1">
      <alignment horizontal="center"/>
    </xf>
    <xf numFmtId="0" fontId="1" fillId="5" borderId="1" xfId="0" applyFont="1" applyFill="1" applyBorder="1" applyAlignment="1">
      <alignment vertical="center" wrapText="1"/>
    </xf>
    <xf numFmtId="0" fontId="0" fillId="5" borderId="1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left" vertical="center"/>
    </xf>
    <xf numFmtId="0" fontId="1" fillId="4" borderId="1" xfId="0" applyFont="1" applyFill="1" applyBorder="1" applyAlignment="1">
      <alignment vertical="center" wrapText="1"/>
    </xf>
    <xf numFmtId="0" fontId="0" fillId="4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vertical="center" wrapText="1"/>
    </xf>
    <xf numFmtId="0" fontId="0" fillId="0" borderId="3" xfId="0" applyFont="1" applyFill="1" applyBorder="1" applyAlignment="1">
      <alignment horizontal="center"/>
    </xf>
    <xf numFmtId="0" fontId="1" fillId="6" borderId="4" xfId="0" applyFont="1" applyFill="1" applyBorder="1"/>
    <xf numFmtId="0" fontId="0" fillId="0" borderId="5" xfId="0" applyFont="1" applyFill="1" applyBorder="1" applyAlignment="1">
      <alignment horizontal="center"/>
    </xf>
    <xf numFmtId="0" fontId="1" fillId="6" borderId="3" xfId="0" applyFont="1" applyFill="1" applyBorder="1"/>
    <xf numFmtId="0" fontId="1" fillId="0" borderId="3" xfId="0" applyFont="1" applyFill="1" applyBorder="1" applyAlignment="1">
      <alignment horizontal="left" vertical="center"/>
    </xf>
    <xf numFmtId="0" fontId="0" fillId="0" borderId="6" xfId="0" applyFont="1" applyFill="1" applyBorder="1" applyAlignment="1">
      <alignment horizontal="center"/>
    </xf>
    <xf numFmtId="0" fontId="0" fillId="0" borderId="5" xfId="0" applyFont="1" applyBorder="1" applyAlignment="1">
      <alignment horizontal="center"/>
    </xf>
    <xf numFmtId="0" fontId="1" fillId="6" borderId="5" xfId="0" applyFont="1" applyFill="1" applyBorder="1" applyAlignment="1">
      <alignment vertical="center" wrapText="1"/>
    </xf>
    <xf numFmtId="0" fontId="1" fillId="6" borderId="5" xfId="0" applyFont="1" applyFill="1" applyBorder="1"/>
    <xf numFmtId="0" fontId="0" fillId="0" borderId="3" xfId="0" applyFont="1" applyBorder="1" applyAlignment="1">
      <alignment horizontal="center"/>
    </xf>
    <xf numFmtId="0" fontId="0" fillId="6" borderId="4" xfId="0" applyFont="1" applyFill="1" applyBorder="1" applyAlignment="1">
      <alignment horizontal="center"/>
    </xf>
    <xf numFmtId="0" fontId="0" fillId="6" borderId="5" xfId="0" applyFont="1" applyFill="1" applyBorder="1" applyAlignment="1">
      <alignment horizontal="center"/>
    </xf>
    <xf numFmtId="0" fontId="0" fillId="0" borderId="4" xfId="0" applyFont="1" applyFill="1" applyBorder="1" applyAlignment="1">
      <alignment horizontal="center"/>
    </xf>
    <xf numFmtId="0" fontId="1" fillId="6" borderId="7" xfId="0" applyFont="1" applyFill="1" applyBorder="1"/>
    <xf numFmtId="0" fontId="0" fillId="0" borderId="8" xfId="0" applyFont="1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9" xfId="0" applyFont="1" applyFill="1" applyBorder="1" applyAlignment="1">
      <alignment horizontal="center"/>
    </xf>
    <xf numFmtId="0" fontId="1" fillId="0" borderId="5" xfId="0" applyFont="1" applyFill="1" applyBorder="1" applyAlignment="1">
      <alignment vertical="center" wrapText="1"/>
    </xf>
    <xf numFmtId="0" fontId="0" fillId="0" borderId="10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B1:AA49"/>
  <sheetViews>
    <sheetView tabSelected="1" topLeftCell="F1" zoomScale="70" zoomScaleNormal="70" workbookViewId="0">
      <selection activeCell="T5" sqref="T5:AA25"/>
    </sheetView>
  </sheetViews>
  <sheetFormatPr baseColWidth="10" defaultRowHeight="15" x14ac:dyDescent="0.25"/>
  <cols>
    <col min="2" max="2" width="15.7109375" customWidth="1"/>
    <col min="3" max="3" width="15.28515625" customWidth="1"/>
    <col min="4" max="4" width="9.5703125" customWidth="1"/>
    <col min="5" max="5" width="1.7109375" customWidth="1"/>
    <col min="6" max="6" width="12.140625" customWidth="1"/>
    <col min="7" max="7" width="3.28515625" customWidth="1"/>
    <col min="8" max="8" width="15.140625" customWidth="1"/>
    <col min="9" max="9" width="21" customWidth="1"/>
    <col min="10" max="10" width="14.28515625" customWidth="1"/>
    <col min="13" max="13" width="15.85546875" customWidth="1"/>
    <col min="21" max="21" width="18.7109375" customWidth="1"/>
  </cols>
  <sheetData>
    <row r="1" spans="2:27" x14ac:dyDescent="0.25">
      <c r="D1" t="s">
        <v>429</v>
      </c>
      <c r="F1" t="s">
        <v>22</v>
      </c>
    </row>
    <row r="2" spans="2:27" x14ac:dyDescent="0.25">
      <c r="D2" t="s">
        <v>430</v>
      </c>
      <c r="F2">
        <v>5</v>
      </c>
    </row>
    <row r="3" spans="2:27" x14ac:dyDescent="0.25">
      <c r="D3" t="s">
        <v>431</v>
      </c>
      <c r="F3" t="s">
        <v>550</v>
      </c>
    </row>
    <row r="4" spans="2:27" x14ac:dyDescent="0.25">
      <c r="B4" t="s">
        <v>0</v>
      </c>
      <c r="C4" t="s">
        <v>1</v>
      </c>
      <c r="D4" t="s">
        <v>2</v>
      </c>
      <c r="E4" t="s">
        <v>3</v>
      </c>
      <c r="F4" t="s">
        <v>4</v>
      </c>
      <c r="H4" t="s">
        <v>379</v>
      </c>
      <c r="I4" t="s">
        <v>2</v>
      </c>
      <c r="J4" t="s">
        <v>34</v>
      </c>
      <c r="K4" t="s">
        <v>4</v>
      </c>
      <c r="L4" t="s">
        <v>422</v>
      </c>
      <c r="M4" t="s">
        <v>423</v>
      </c>
      <c r="N4" t="s">
        <v>424</v>
      </c>
      <c r="O4" t="s">
        <v>425</v>
      </c>
      <c r="P4" t="s">
        <v>426</v>
      </c>
      <c r="Q4" t="s">
        <v>427</v>
      </c>
      <c r="R4" t="s">
        <v>428</v>
      </c>
    </row>
    <row r="5" spans="2:27" x14ac:dyDescent="0.25">
      <c r="B5">
        <v>16211002</v>
      </c>
      <c r="C5" t="s">
        <v>207</v>
      </c>
      <c r="D5" t="str">
        <f>ExtraeNom(C5)</f>
        <v>JORGE ANTONIO</v>
      </c>
      <c r="E5" t="str">
        <f>ApePat(C5)</f>
        <v>ARGAEZ</v>
      </c>
      <c r="F5" t="str">
        <f>ApeMat(C5)</f>
        <v>QUIJANO</v>
      </c>
      <c r="H5">
        <f>B5</f>
        <v>16211002</v>
      </c>
      <c r="I5" t="str">
        <f>D5</f>
        <v>JORGE ANTONIO</v>
      </c>
      <c r="J5" t="str">
        <f>E5</f>
        <v>ARGAEZ</v>
      </c>
      <c r="K5" t="str">
        <f>F5</f>
        <v>QUIJANO</v>
      </c>
      <c r="L5" t="str">
        <f>F$1</f>
        <v>TTS</v>
      </c>
      <c r="M5" t="str">
        <f>"@Utc" &amp;H5</f>
        <v>@Utc16211002</v>
      </c>
      <c r="N5">
        <f>F$2</f>
        <v>5</v>
      </c>
      <c r="O5" t="str">
        <f>F$3</f>
        <v>TTS-5A</v>
      </c>
      <c r="T5">
        <v>16211002</v>
      </c>
      <c r="U5" t="s">
        <v>18</v>
      </c>
      <c r="V5" t="s">
        <v>551</v>
      </c>
      <c r="W5" t="s">
        <v>88</v>
      </c>
      <c r="X5" t="s">
        <v>22</v>
      </c>
      <c r="Y5" t="s">
        <v>552</v>
      </c>
      <c r="Z5">
        <v>5</v>
      </c>
      <c r="AA5" t="s">
        <v>550</v>
      </c>
    </row>
    <row r="6" spans="2:27" x14ac:dyDescent="0.25">
      <c r="B6">
        <v>16211004</v>
      </c>
      <c r="C6" t="s">
        <v>208</v>
      </c>
      <c r="D6" t="str">
        <f t="shared" ref="D6:D29" si="0">ExtraeNom(C6)</f>
        <v>JORGE CARLOS</v>
      </c>
      <c r="E6" t="str">
        <f t="shared" ref="E6:E29" si="1">ApePat(C6)</f>
        <v>CASTRO</v>
      </c>
      <c r="F6" t="str">
        <f t="shared" ref="F6:F29" si="2">ApeMat(C6)</f>
        <v>KOH</v>
      </c>
      <c r="H6">
        <f>B6</f>
        <v>16211004</v>
      </c>
      <c r="I6" t="str">
        <f t="shared" ref="I6:K35" si="3">D6</f>
        <v>JORGE CARLOS</v>
      </c>
      <c r="J6" t="str">
        <f t="shared" si="3"/>
        <v>CASTRO</v>
      </c>
      <c r="K6" t="str">
        <f t="shared" si="3"/>
        <v>KOH</v>
      </c>
      <c r="L6" t="str">
        <f t="shared" ref="L6:L33" si="4">F$1</f>
        <v>TTS</v>
      </c>
      <c r="M6" t="str">
        <f t="shared" ref="M6:M29" si="5">"@Utc" &amp;H6</f>
        <v>@Utc16211004</v>
      </c>
      <c r="N6">
        <f t="shared" ref="N6:N29" si="6">F$2</f>
        <v>5</v>
      </c>
      <c r="O6" t="str">
        <f t="shared" ref="O6:O29" si="7">F$3</f>
        <v>TTS-5A</v>
      </c>
      <c r="T6">
        <v>16211004</v>
      </c>
      <c r="U6" t="s">
        <v>553</v>
      </c>
      <c r="V6" t="s">
        <v>554</v>
      </c>
      <c r="W6" t="s">
        <v>555</v>
      </c>
      <c r="X6" t="s">
        <v>22</v>
      </c>
      <c r="Y6" t="s">
        <v>556</v>
      </c>
      <c r="Z6">
        <v>5</v>
      </c>
      <c r="AA6" t="s">
        <v>550</v>
      </c>
    </row>
    <row r="7" spans="2:27" x14ac:dyDescent="0.25">
      <c r="B7">
        <v>16211006</v>
      </c>
      <c r="C7" t="s">
        <v>209</v>
      </c>
      <c r="D7" t="str">
        <f t="shared" si="0"/>
        <v>LINA SALMAI</v>
      </c>
      <c r="E7" t="str">
        <f t="shared" si="1"/>
        <v>DZIB</v>
      </c>
      <c r="F7" t="str">
        <f t="shared" si="2"/>
        <v>CIME</v>
      </c>
      <c r="H7">
        <f>B7</f>
        <v>16211006</v>
      </c>
      <c r="I7" t="str">
        <f t="shared" si="3"/>
        <v>LINA SALMAI</v>
      </c>
      <c r="J7" t="str">
        <f t="shared" si="3"/>
        <v>DZIB</v>
      </c>
      <c r="K7" t="str">
        <f t="shared" si="3"/>
        <v>CIME</v>
      </c>
      <c r="L7" t="str">
        <f t="shared" si="4"/>
        <v>TTS</v>
      </c>
      <c r="M7" t="str">
        <f t="shared" si="5"/>
        <v>@Utc16211006</v>
      </c>
      <c r="N7">
        <f t="shared" si="6"/>
        <v>5</v>
      </c>
      <c r="O7" t="str">
        <f t="shared" si="7"/>
        <v>TTS-5A</v>
      </c>
      <c r="T7">
        <v>16211006</v>
      </c>
      <c r="U7" t="s">
        <v>557</v>
      </c>
      <c r="V7" t="s">
        <v>509</v>
      </c>
      <c r="W7" t="s">
        <v>130</v>
      </c>
      <c r="X7" t="s">
        <v>22</v>
      </c>
      <c r="Y7" t="s">
        <v>558</v>
      </c>
      <c r="Z7">
        <v>5</v>
      </c>
      <c r="AA7" t="s">
        <v>550</v>
      </c>
    </row>
    <row r="8" spans="2:27" x14ac:dyDescent="0.25">
      <c r="B8">
        <v>16211008</v>
      </c>
      <c r="C8" t="s">
        <v>211</v>
      </c>
      <c r="D8" t="str">
        <f t="shared" si="0"/>
        <v>MANUEL DE JESUS</v>
      </c>
      <c r="E8" t="str">
        <f t="shared" si="1"/>
        <v>DZUL</v>
      </c>
      <c r="F8" t="str">
        <f t="shared" si="2"/>
        <v>BEH</v>
      </c>
      <c r="H8">
        <f>B8</f>
        <v>16211008</v>
      </c>
      <c r="I8" t="str">
        <f t="shared" si="3"/>
        <v>MANUEL DE JESUS</v>
      </c>
      <c r="J8" t="str">
        <f t="shared" si="3"/>
        <v>DZUL</v>
      </c>
      <c r="K8" t="str">
        <f t="shared" si="3"/>
        <v>BEH</v>
      </c>
      <c r="L8" t="str">
        <f t="shared" si="4"/>
        <v>TTS</v>
      </c>
      <c r="M8" t="str">
        <f t="shared" si="5"/>
        <v>@Utc16211008</v>
      </c>
      <c r="N8">
        <f t="shared" si="6"/>
        <v>5</v>
      </c>
      <c r="O8" t="str">
        <f t="shared" si="7"/>
        <v>TTS-5A</v>
      </c>
      <c r="T8">
        <v>16211008</v>
      </c>
      <c r="U8" t="s">
        <v>559</v>
      </c>
      <c r="V8" t="s">
        <v>72</v>
      </c>
      <c r="W8" t="s">
        <v>491</v>
      </c>
      <c r="X8" t="s">
        <v>22</v>
      </c>
      <c r="Y8" t="s">
        <v>560</v>
      </c>
      <c r="Z8">
        <v>5</v>
      </c>
      <c r="AA8" t="s">
        <v>550</v>
      </c>
    </row>
    <row r="9" spans="2:27" x14ac:dyDescent="0.25">
      <c r="B9">
        <v>16211009</v>
      </c>
      <c r="C9" t="s">
        <v>212</v>
      </c>
      <c r="D9" t="str">
        <f t="shared" si="0"/>
        <v>EDWIN ISAI</v>
      </c>
      <c r="E9" t="str">
        <f t="shared" si="1"/>
        <v>EK</v>
      </c>
      <c r="F9" t="str">
        <f t="shared" si="2"/>
        <v>EB</v>
      </c>
      <c r="H9">
        <f>B9</f>
        <v>16211009</v>
      </c>
      <c r="I9" t="str">
        <f t="shared" si="3"/>
        <v>EDWIN ISAI</v>
      </c>
      <c r="J9" t="str">
        <f t="shared" si="3"/>
        <v>EK</v>
      </c>
      <c r="K9" t="str">
        <f t="shared" si="3"/>
        <v>EB</v>
      </c>
      <c r="L9" t="str">
        <f t="shared" si="4"/>
        <v>TTS</v>
      </c>
      <c r="M9" t="str">
        <f t="shared" si="5"/>
        <v>@Utc16211009</v>
      </c>
      <c r="N9">
        <f t="shared" si="6"/>
        <v>5</v>
      </c>
      <c r="O9" t="str">
        <f t="shared" si="7"/>
        <v>TTS-5A</v>
      </c>
      <c r="T9">
        <v>16211009</v>
      </c>
      <c r="U9" t="s">
        <v>561</v>
      </c>
      <c r="V9" t="s">
        <v>13</v>
      </c>
      <c r="W9" t="s">
        <v>512</v>
      </c>
      <c r="X9" t="s">
        <v>22</v>
      </c>
      <c r="Y9" t="s">
        <v>562</v>
      </c>
      <c r="Z9">
        <v>5</v>
      </c>
      <c r="AA9" t="s">
        <v>550</v>
      </c>
    </row>
    <row r="10" spans="2:27" x14ac:dyDescent="0.25">
      <c r="B10">
        <v>16211010</v>
      </c>
      <c r="C10" t="s">
        <v>213</v>
      </c>
      <c r="D10" t="str">
        <f t="shared" si="0"/>
        <v>EDDIEL ABRAHAM</v>
      </c>
      <c r="E10" t="str">
        <f t="shared" si="1"/>
        <v>EK</v>
      </c>
      <c r="F10" t="str">
        <f t="shared" si="2"/>
        <v>MAY</v>
      </c>
      <c r="H10">
        <f>B10</f>
        <v>16211010</v>
      </c>
      <c r="I10" t="str">
        <f t="shared" si="3"/>
        <v>EDDIEL ABRAHAM</v>
      </c>
      <c r="J10" t="str">
        <f t="shared" si="3"/>
        <v>EK</v>
      </c>
      <c r="K10" t="str">
        <f t="shared" si="3"/>
        <v>MAY</v>
      </c>
      <c r="L10" t="str">
        <f t="shared" si="4"/>
        <v>TTS</v>
      </c>
      <c r="M10" t="str">
        <f t="shared" si="5"/>
        <v>@Utc16211010</v>
      </c>
      <c r="N10">
        <f t="shared" si="6"/>
        <v>5</v>
      </c>
      <c r="O10" t="str">
        <f t="shared" si="7"/>
        <v>TTS-5A</v>
      </c>
      <c r="T10">
        <v>16211010</v>
      </c>
      <c r="U10" t="s">
        <v>563</v>
      </c>
      <c r="V10" t="s">
        <v>13</v>
      </c>
      <c r="W10" t="s">
        <v>11</v>
      </c>
      <c r="X10" t="s">
        <v>22</v>
      </c>
      <c r="Y10" t="s">
        <v>564</v>
      </c>
      <c r="Z10">
        <v>5</v>
      </c>
      <c r="AA10" t="s">
        <v>550</v>
      </c>
    </row>
    <row r="11" spans="2:27" x14ac:dyDescent="0.25">
      <c r="B11">
        <v>16211011</v>
      </c>
      <c r="C11" t="s">
        <v>214</v>
      </c>
      <c r="D11" t="str">
        <f t="shared" si="0"/>
        <v>YESSICA NATALY</v>
      </c>
      <c r="E11" t="str">
        <f t="shared" si="1"/>
        <v>JIMENEZ</v>
      </c>
      <c r="F11" t="str">
        <f t="shared" si="2"/>
        <v>PECH</v>
      </c>
      <c r="H11">
        <f>B11</f>
        <v>16211011</v>
      </c>
      <c r="I11" t="str">
        <f t="shared" si="3"/>
        <v>YESSICA NATALY</v>
      </c>
      <c r="J11" t="str">
        <f t="shared" si="3"/>
        <v>JIMENEZ</v>
      </c>
      <c r="K11" t="str">
        <f t="shared" si="3"/>
        <v>PECH</v>
      </c>
      <c r="L11" t="str">
        <f t="shared" si="4"/>
        <v>TTS</v>
      </c>
      <c r="M11" t="str">
        <f t="shared" si="5"/>
        <v>@Utc16211011</v>
      </c>
      <c r="N11">
        <f t="shared" si="6"/>
        <v>5</v>
      </c>
      <c r="O11" t="str">
        <f t="shared" si="7"/>
        <v>TTS-5A</v>
      </c>
      <c r="T11">
        <v>16211011</v>
      </c>
      <c r="U11" t="s">
        <v>565</v>
      </c>
      <c r="V11" t="s">
        <v>133</v>
      </c>
      <c r="W11" t="s">
        <v>16</v>
      </c>
      <c r="X11" t="s">
        <v>22</v>
      </c>
      <c r="Y11" t="s">
        <v>566</v>
      </c>
      <c r="Z11">
        <v>5</v>
      </c>
      <c r="AA11" t="s">
        <v>550</v>
      </c>
    </row>
    <row r="12" spans="2:27" x14ac:dyDescent="0.25">
      <c r="B12">
        <v>16211012</v>
      </c>
      <c r="C12" t="s">
        <v>215</v>
      </c>
      <c r="D12" t="str">
        <f t="shared" si="0"/>
        <v>JOSUE HILARIO</v>
      </c>
      <c r="E12" t="str">
        <f t="shared" si="1"/>
        <v>KUK</v>
      </c>
      <c r="F12" t="str">
        <f t="shared" si="2"/>
        <v>CHAN</v>
      </c>
      <c r="H12">
        <f>B12</f>
        <v>16211012</v>
      </c>
      <c r="I12" t="str">
        <f t="shared" si="3"/>
        <v>JOSUE HILARIO</v>
      </c>
      <c r="J12" t="str">
        <f t="shared" si="3"/>
        <v>KUK</v>
      </c>
      <c r="K12" t="str">
        <f t="shared" si="3"/>
        <v>CHAN</v>
      </c>
      <c r="L12" t="str">
        <f t="shared" si="4"/>
        <v>TTS</v>
      </c>
      <c r="M12" t="str">
        <f t="shared" si="5"/>
        <v>@Utc16211012</v>
      </c>
      <c r="N12">
        <f t="shared" si="6"/>
        <v>5</v>
      </c>
      <c r="O12" t="str">
        <f t="shared" si="7"/>
        <v>TTS-5A</v>
      </c>
      <c r="T12">
        <v>16211012</v>
      </c>
      <c r="U12" t="s">
        <v>567</v>
      </c>
      <c r="V12" t="s">
        <v>568</v>
      </c>
      <c r="W12" t="s">
        <v>64</v>
      </c>
      <c r="X12" t="s">
        <v>22</v>
      </c>
      <c r="Y12" t="s">
        <v>569</v>
      </c>
      <c r="Z12">
        <v>5</v>
      </c>
      <c r="AA12" t="s">
        <v>550</v>
      </c>
    </row>
    <row r="13" spans="2:27" x14ac:dyDescent="0.25">
      <c r="B13">
        <v>16211013</v>
      </c>
      <c r="C13" t="s">
        <v>216</v>
      </c>
      <c r="D13" t="str">
        <f t="shared" si="0"/>
        <v>EUNICE SARAI</v>
      </c>
      <c r="E13" t="str">
        <f t="shared" si="1"/>
        <v>LLANES</v>
      </c>
      <c r="F13" t="str">
        <f t="shared" si="2"/>
        <v>CANUL</v>
      </c>
      <c r="H13">
        <f>B13</f>
        <v>16211013</v>
      </c>
      <c r="I13" t="str">
        <f t="shared" si="3"/>
        <v>EUNICE SARAI</v>
      </c>
      <c r="J13" t="str">
        <f t="shared" si="3"/>
        <v>LLANES</v>
      </c>
      <c r="K13" t="str">
        <f t="shared" si="3"/>
        <v>CANUL</v>
      </c>
      <c r="L13" t="str">
        <f t="shared" si="4"/>
        <v>TTS</v>
      </c>
      <c r="M13" t="str">
        <f t="shared" si="5"/>
        <v>@Utc16211013</v>
      </c>
      <c r="N13">
        <f t="shared" si="6"/>
        <v>5</v>
      </c>
      <c r="O13" t="str">
        <f t="shared" si="7"/>
        <v>TTS-5A</v>
      </c>
      <c r="T13">
        <v>16211013</v>
      </c>
      <c r="U13" t="s">
        <v>570</v>
      </c>
      <c r="V13" t="s">
        <v>6</v>
      </c>
      <c r="W13" t="s">
        <v>10</v>
      </c>
      <c r="X13" t="s">
        <v>22</v>
      </c>
      <c r="Y13" t="s">
        <v>571</v>
      </c>
      <c r="Z13">
        <v>5</v>
      </c>
      <c r="AA13" t="s">
        <v>550</v>
      </c>
    </row>
    <row r="14" spans="2:27" x14ac:dyDescent="0.25">
      <c r="B14">
        <v>16211015</v>
      </c>
      <c r="C14" t="s">
        <v>217</v>
      </c>
      <c r="D14" t="str">
        <f t="shared" si="0"/>
        <v>JULIA BEATRIZ</v>
      </c>
      <c r="E14" t="str">
        <f t="shared" si="1"/>
        <v>MIS</v>
      </c>
      <c r="F14" t="str">
        <f t="shared" si="2"/>
        <v>HAU</v>
      </c>
      <c r="H14">
        <f>B14</f>
        <v>16211015</v>
      </c>
      <c r="I14" t="str">
        <f t="shared" si="3"/>
        <v>JULIA BEATRIZ</v>
      </c>
      <c r="J14" t="str">
        <f t="shared" si="3"/>
        <v>MIS</v>
      </c>
      <c r="K14" t="str">
        <f t="shared" si="3"/>
        <v>HAU</v>
      </c>
      <c r="L14" t="str">
        <f t="shared" si="4"/>
        <v>TTS</v>
      </c>
      <c r="M14" t="str">
        <f t="shared" si="5"/>
        <v>@Utc16211015</v>
      </c>
      <c r="N14">
        <f t="shared" si="6"/>
        <v>5</v>
      </c>
      <c r="O14" t="str">
        <f t="shared" si="7"/>
        <v>TTS-5A</v>
      </c>
      <c r="T14">
        <v>16211015</v>
      </c>
      <c r="U14" t="s">
        <v>572</v>
      </c>
      <c r="V14" t="s">
        <v>536</v>
      </c>
      <c r="W14" t="s">
        <v>405</v>
      </c>
      <c r="X14" t="s">
        <v>22</v>
      </c>
      <c r="Y14" t="s">
        <v>573</v>
      </c>
      <c r="Z14">
        <v>5</v>
      </c>
      <c r="AA14" t="s">
        <v>550</v>
      </c>
    </row>
    <row r="15" spans="2:27" x14ac:dyDescent="0.25">
      <c r="B15">
        <v>16211017</v>
      </c>
      <c r="C15" t="s">
        <v>218</v>
      </c>
      <c r="D15" t="str">
        <f t="shared" si="0"/>
        <v>EK ARELY MARGARITA</v>
      </c>
      <c r="E15" t="str">
        <f t="shared" si="1"/>
        <v>MORENO</v>
      </c>
      <c r="F15" t="str">
        <f t="shared" si="2"/>
        <v>EK</v>
      </c>
      <c r="H15">
        <f>B15</f>
        <v>16211017</v>
      </c>
      <c r="I15" t="str">
        <f t="shared" si="3"/>
        <v>EK ARELY MARGARITA</v>
      </c>
      <c r="J15" t="str">
        <f t="shared" si="3"/>
        <v>MORENO</v>
      </c>
      <c r="K15" t="str">
        <f t="shared" si="3"/>
        <v>EK</v>
      </c>
      <c r="L15" t="str">
        <f t="shared" si="4"/>
        <v>TTS</v>
      </c>
      <c r="M15" t="str">
        <f t="shared" si="5"/>
        <v>@Utc16211017</v>
      </c>
      <c r="N15">
        <f t="shared" si="6"/>
        <v>5</v>
      </c>
      <c r="O15" t="str">
        <f t="shared" si="7"/>
        <v>TTS-5A</v>
      </c>
      <c r="T15">
        <v>16211017</v>
      </c>
      <c r="U15" t="s">
        <v>574</v>
      </c>
      <c r="V15" t="s">
        <v>407</v>
      </c>
      <c r="W15" t="s">
        <v>13</v>
      </c>
      <c r="X15" t="s">
        <v>22</v>
      </c>
      <c r="Y15" t="s">
        <v>575</v>
      </c>
      <c r="Z15">
        <v>5</v>
      </c>
      <c r="AA15" t="s">
        <v>550</v>
      </c>
    </row>
    <row r="16" spans="2:27" x14ac:dyDescent="0.25">
      <c r="B16">
        <v>16211018</v>
      </c>
      <c r="C16" t="s">
        <v>219</v>
      </c>
      <c r="D16" t="str">
        <f t="shared" si="0"/>
        <v xml:space="preserve">PEDRO JOAQUIN </v>
      </c>
      <c r="E16" t="str">
        <f t="shared" si="1"/>
        <v>NAVARRETE</v>
      </c>
      <c r="F16" t="str">
        <f t="shared" si="2"/>
        <v>TUN</v>
      </c>
      <c r="H16">
        <f>B16</f>
        <v>16211018</v>
      </c>
      <c r="I16" t="str">
        <f t="shared" si="3"/>
        <v xml:space="preserve">PEDRO JOAQUIN </v>
      </c>
      <c r="J16" t="str">
        <f t="shared" si="3"/>
        <v>NAVARRETE</v>
      </c>
      <c r="K16" t="str">
        <f t="shared" si="3"/>
        <v>TUN</v>
      </c>
      <c r="L16" t="str">
        <f t="shared" si="4"/>
        <v>TTS</v>
      </c>
      <c r="M16" t="str">
        <f t="shared" si="5"/>
        <v>@Utc16211018</v>
      </c>
      <c r="N16">
        <f t="shared" si="6"/>
        <v>5</v>
      </c>
      <c r="O16" t="str">
        <f t="shared" si="7"/>
        <v>TTS-5A</v>
      </c>
      <c r="T16">
        <v>16211018</v>
      </c>
      <c r="U16" t="s">
        <v>576</v>
      </c>
      <c r="V16" t="s">
        <v>577</v>
      </c>
      <c r="W16" t="s">
        <v>21</v>
      </c>
      <c r="X16" t="s">
        <v>22</v>
      </c>
      <c r="Y16" t="s">
        <v>578</v>
      </c>
      <c r="Z16">
        <v>5</v>
      </c>
      <c r="AA16" t="s">
        <v>550</v>
      </c>
    </row>
    <row r="17" spans="2:27" x14ac:dyDescent="0.25">
      <c r="B17">
        <v>16211019</v>
      </c>
      <c r="C17" t="s">
        <v>220</v>
      </c>
      <c r="D17" t="str">
        <f t="shared" si="0"/>
        <v>ANDRES JEREMIAS</v>
      </c>
      <c r="E17" t="str">
        <f t="shared" si="1"/>
        <v>NOH</v>
      </c>
      <c r="F17" t="str">
        <f t="shared" si="2"/>
        <v>CHABLE</v>
      </c>
      <c r="H17">
        <f>B17</f>
        <v>16211019</v>
      </c>
      <c r="I17" t="str">
        <f t="shared" si="3"/>
        <v>ANDRES JEREMIAS</v>
      </c>
      <c r="J17" t="str">
        <f t="shared" si="3"/>
        <v>NOH</v>
      </c>
      <c r="K17" t="str">
        <f t="shared" si="3"/>
        <v>CHABLE</v>
      </c>
      <c r="L17" t="str">
        <f t="shared" si="4"/>
        <v>TTS</v>
      </c>
      <c r="M17" t="str">
        <f t="shared" si="5"/>
        <v>@Utc16211019</v>
      </c>
      <c r="N17">
        <f t="shared" si="6"/>
        <v>5</v>
      </c>
      <c r="O17" t="str">
        <f t="shared" si="7"/>
        <v>TTS-5A</v>
      </c>
      <c r="T17">
        <v>16211019</v>
      </c>
      <c r="U17" t="s">
        <v>579</v>
      </c>
      <c r="V17" t="s">
        <v>580</v>
      </c>
      <c r="W17" t="s">
        <v>581</v>
      </c>
      <c r="X17" t="s">
        <v>22</v>
      </c>
      <c r="Y17" t="s">
        <v>582</v>
      </c>
      <c r="Z17">
        <v>5</v>
      </c>
      <c r="AA17" t="s">
        <v>550</v>
      </c>
    </row>
    <row r="18" spans="2:27" x14ac:dyDescent="0.25">
      <c r="B18">
        <v>16211020</v>
      </c>
      <c r="C18" t="s">
        <v>221</v>
      </c>
      <c r="D18" t="str">
        <f t="shared" si="0"/>
        <v>ISSAC NOLBERTO</v>
      </c>
      <c r="E18" t="str">
        <f t="shared" si="1"/>
        <v>PACHECO</v>
      </c>
      <c r="F18" t="str">
        <f t="shared" si="2"/>
        <v>EK</v>
      </c>
      <c r="H18">
        <f>B18</f>
        <v>16211020</v>
      </c>
      <c r="I18" t="str">
        <f t="shared" si="3"/>
        <v>ISSAC NOLBERTO</v>
      </c>
      <c r="J18" t="str">
        <f t="shared" si="3"/>
        <v>PACHECO</v>
      </c>
      <c r="K18" t="str">
        <f t="shared" si="3"/>
        <v>EK</v>
      </c>
      <c r="L18" t="str">
        <f t="shared" si="4"/>
        <v>TTS</v>
      </c>
      <c r="M18" t="str">
        <f t="shared" si="5"/>
        <v>@Utc16211020</v>
      </c>
      <c r="N18">
        <f t="shared" si="6"/>
        <v>5</v>
      </c>
      <c r="O18" t="str">
        <f t="shared" si="7"/>
        <v>TTS-5A</v>
      </c>
      <c r="T18">
        <v>16211020</v>
      </c>
      <c r="U18" t="s">
        <v>583</v>
      </c>
      <c r="V18" t="s">
        <v>408</v>
      </c>
      <c r="W18" t="s">
        <v>13</v>
      </c>
      <c r="X18" t="s">
        <v>22</v>
      </c>
      <c r="Y18" t="s">
        <v>584</v>
      </c>
      <c r="Z18">
        <v>5</v>
      </c>
      <c r="AA18" t="s">
        <v>550</v>
      </c>
    </row>
    <row r="19" spans="2:27" x14ac:dyDescent="0.25">
      <c r="B19">
        <v>16211023</v>
      </c>
      <c r="C19" t="s">
        <v>224</v>
      </c>
      <c r="D19" t="str">
        <f t="shared" si="0"/>
        <v>FRANCISCO DAVID</v>
      </c>
      <c r="E19" t="str">
        <f t="shared" si="1"/>
        <v>PECH</v>
      </c>
      <c r="F19" t="str">
        <f t="shared" si="2"/>
        <v>KU</v>
      </c>
      <c r="H19">
        <f>B19</f>
        <v>16211023</v>
      </c>
      <c r="I19" t="str">
        <f t="shared" si="3"/>
        <v>FRANCISCO DAVID</v>
      </c>
      <c r="J19" t="str">
        <f t="shared" si="3"/>
        <v>PECH</v>
      </c>
      <c r="K19" t="str">
        <f t="shared" si="3"/>
        <v>KU</v>
      </c>
      <c r="L19" t="str">
        <f t="shared" si="4"/>
        <v>TTS</v>
      </c>
      <c r="M19" t="str">
        <f t="shared" si="5"/>
        <v>@Utc16211023</v>
      </c>
      <c r="N19">
        <f t="shared" si="6"/>
        <v>5</v>
      </c>
      <c r="O19" t="str">
        <f t="shared" si="7"/>
        <v>TTS-5A</v>
      </c>
      <c r="T19">
        <v>16211023</v>
      </c>
      <c r="U19" t="s">
        <v>585</v>
      </c>
      <c r="V19" t="s">
        <v>16</v>
      </c>
      <c r="W19" t="s">
        <v>418</v>
      </c>
      <c r="X19" t="s">
        <v>22</v>
      </c>
      <c r="Y19" t="s">
        <v>586</v>
      </c>
      <c r="Z19">
        <v>5</v>
      </c>
      <c r="AA19" t="s">
        <v>550</v>
      </c>
    </row>
    <row r="20" spans="2:27" x14ac:dyDescent="0.25">
      <c r="B20">
        <v>16211024</v>
      </c>
      <c r="C20" t="s">
        <v>225</v>
      </c>
      <c r="D20" t="str">
        <f t="shared" si="0"/>
        <v>DAYANNE ALEJANDRA</v>
      </c>
      <c r="E20" t="str">
        <f t="shared" si="1"/>
        <v>RODRIGUEZ</v>
      </c>
      <c r="F20" t="str">
        <f t="shared" si="2"/>
        <v>MEZQUITA</v>
      </c>
      <c r="H20">
        <f>B20</f>
        <v>16211024</v>
      </c>
      <c r="I20" t="str">
        <f t="shared" si="3"/>
        <v>DAYANNE ALEJANDRA</v>
      </c>
      <c r="J20" t="str">
        <f t="shared" si="3"/>
        <v>RODRIGUEZ</v>
      </c>
      <c r="K20" t="str">
        <f t="shared" si="3"/>
        <v>MEZQUITA</v>
      </c>
      <c r="L20" t="str">
        <f t="shared" si="4"/>
        <v>TTS</v>
      </c>
      <c r="M20" t="str">
        <f t="shared" si="5"/>
        <v>@Utc16211024</v>
      </c>
      <c r="N20">
        <f t="shared" si="6"/>
        <v>5</v>
      </c>
      <c r="O20" t="str">
        <f t="shared" si="7"/>
        <v>TTS-5A</v>
      </c>
      <c r="T20">
        <v>16211024</v>
      </c>
      <c r="U20" t="s">
        <v>587</v>
      </c>
      <c r="V20" t="s">
        <v>19</v>
      </c>
      <c r="W20" t="s">
        <v>588</v>
      </c>
      <c r="X20" t="s">
        <v>22</v>
      </c>
      <c r="Y20" t="s">
        <v>589</v>
      </c>
      <c r="Z20">
        <v>5</v>
      </c>
      <c r="AA20" t="s">
        <v>550</v>
      </c>
    </row>
    <row r="21" spans="2:27" x14ac:dyDescent="0.25">
      <c r="B21">
        <v>17211160</v>
      </c>
      <c r="C21" t="s">
        <v>549</v>
      </c>
      <c r="D21" t="str">
        <f t="shared" si="0"/>
        <v>WILLIAM JOSUE</v>
      </c>
      <c r="E21" t="str">
        <f t="shared" si="1"/>
        <v>RODRIGUEZ</v>
      </c>
      <c r="F21" t="str">
        <f t="shared" si="2"/>
        <v>UCAN</v>
      </c>
      <c r="H21">
        <f>B21</f>
        <v>17211160</v>
      </c>
      <c r="I21" t="str">
        <f t="shared" si="3"/>
        <v>WILLIAM JOSUE</v>
      </c>
      <c r="J21" t="str">
        <f t="shared" si="3"/>
        <v>RODRIGUEZ</v>
      </c>
      <c r="K21" t="str">
        <f t="shared" si="3"/>
        <v>UCAN</v>
      </c>
      <c r="L21" t="str">
        <f t="shared" si="4"/>
        <v>TTS</v>
      </c>
      <c r="M21" t="str">
        <f t="shared" si="5"/>
        <v>@Utc17211160</v>
      </c>
      <c r="N21">
        <f t="shared" si="6"/>
        <v>5</v>
      </c>
      <c r="O21" t="str">
        <f t="shared" si="7"/>
        <v>TTS-5A</v>
      </c>
      <c r="T21">
        <v>17211160</v>
      </c>
      <c r="U21" t="s">
        <v>590</v>
      </c>
      <c r="V21" t="s">
        <v>19</v>
      </c>
      <c r="W21" t="s">
        <v>591</v>
      </c>
      <c r="X21" t="s">
        <v>22</v>
      </c>
      <c r="Y21" t="s">
        <v>592</v>
      </c>
      <c r="Z21">
        <v>5</v>
      </c>
      <c r="AA21" t="s">
        <v>550</v>
      </c>
    </row>
    <row r="22" spans="2:27" x14ac:dyDescent="0.25">
      <c r="B22">
        <v>16211025</v>
      </c>
      <c r="C22" t="s">
        <v>226</v>
      </c>
      <c r="D22" t="str">
        <f t="shared" si="0"/>
        <v>JOAQUIN ADRIAN</v>
      </c>
      <c r="E22" t="str">
        <f t="shared" si="1"/>
        <v>TORRES</v>
      </c>
      <c r="F22" t="str">
        <f t="shared" si="2"/>
        <v>UC</v>
      </c>
      <c r="H22">
        <f>B22</f>
        <v>16211025</v>
      </c>
      <c r="I22" t="str">
        <f t="shared" si="3"/>
        <v>JOAQUIN ADRIAN</v>
      </c>
      <c r="J22" t="str">
        <f t="shared" si="3"/>
        <v>TORRES</v>
      </c>
      <c r="K22" t="str">
        <f t="shared" si="3"/>
        <v>UC</v>
      </c>
      <c r="L22" t="str">
        <f t="shared" si="4"/>
        <v>TTS</v>
      </c>
      <c r="M22" t="str">
        <f t="shared" si="5"/>
        <v>@Utc16211025</v>
      </c>
      <c r="N22">
        <f t="shared" si="6"/>
        <v>5</v>
      </c>
      <c r="O22" t="str">
        <f t="shared" si="7"/>
        <v>TTS-5A</v>
      </c>
      <c r="T22">
        <v>16211025</v>
      </c>
      <c r="U22" t="s">
        <v>593</v>
      </c>
      <c r="V22" t="s">
        <v>594</v>
      </c>
      <c r="W22" t="s">
        <v>101</v>
      </c>
      <c r="X22" t="s">
        <v>22</v>
      </c>
      <c r="Y22" t="s">
        <v>595</v>
      </c>
      <c r="Z22">
        <v>5</v>
      </c>
      <c r="AA22" t="s">
        <v>550</v>
      </c>
    </row>
    <row r="23" spans="2:27" x14ac:dyDescent="0.25">
      <c r="B23">
        <v>16211026</v>
      </c>
      <c r="C23" t="s">
        <v>227</v>
      </c>
      <c r="D23" t="str">
        <f t="shared" si="0"/>
        <v>IUIT TOMAS MARTINIANO</v>
      </c>
      <c r="E23" t="str">
        <f t="shared" si="1"/>
        <v>TUN</v>
      </c>
      <c r="F23" t="str">
        <f t="shared" si="2"/>
        <v>IUIT</v>
      </c>
      <c r="H23">
        <f>B23</f>
        <v>16211026</v>
      </c>
      <c r="I23" t="str">
        <f t="shared" si="3"/>
        <v>IUIT TOMAS MARTINIANO</v>
      </c>
      <c r="J23" t="str">
        <f t="shared" si="3"/>
        <v>TUN</v>
      </c>
      <c r="K23" t="str">
        <f t="shared" si="3"/>
        <v>IUIT</v>
      </c>
      <c r="L23" t="str">
        <f t="shared" si="4"/>
        <v>TTS</v>
      </c>
      <c r="M23" t="str">
        <f t="shared" si="5"/>
        <v>@Utc16211026</v>
      </c>
      <c r="N23">
        <f t="shared" si="6"/>
        <v>5</v>
      </c>
      <c r="O23" t="str">
        <f t="shared" si="7"/>
        <v>TTS-5A</v>
      </c>
      <c r="T23">
        <v>16211026</v>
      </c>
      <c r="U23" t="s">
        <v>596</v>
      </c>
      <c r="V23" t="s">
        <v>21</v>
      </c>
      <c r="W23" t="s">
        <v>597</v>
      </c>
      <c r="X23" t="s">
        <v>22</v>
      </c>
      <c r="Y23" t="s">
        <v>598</v>
      </c>
      <c r="Z23">
        <v>5</v>
      </c>
      <c r="AA23" t="s">
        <v>550</v>
      </c>
    </row>
    <row r="24" spans="2:27" x14ac:dyDescent="0.25">
      <c r="B24">
        <v>16211027</v>
      </c>
      <c r="C24" t="s">
        <v>228</v>
      </c>
      <c r="D24" t="str">
        <f t="shared" si="0"/>
        <v>JHOSMAR MAXIMO</v>
      </c>
      <c r="E24" t="str">
        <f t="shared" si="1"/>
        <v>TZUC</v>
      </c>
      <c r="F24" t="str">
        <f t="shared" si="2"/>
        <v>UICAB</v>
      </c>
      <c r="H24">
        <f>B24</f>
        <v>16211027</v>
      </c>
      <c r="I24" t="str">
        <f t="shared" si="3"/>
        <v>JHOSMAR MAXIMO</v>
      </c>
      <c r="J24" t="str">
        <f t="shared" si="3"/>
        <v>TZUC</v>
      </c>
      <c r="K24" t="str">
        <f t="shared" si="3"/>
        <v>UICAB</v>
      </c>
      <c r="L24" t="str">
        <f t="shared" si="4"/>
        <v>TTS</v>
      </c>
      <c r="M24" t="str">
        <f t="shared" si="5"/>
        <v>@Utc16211027</v>
      </c>
      <c r="N24">
        <f t="shared" si="6"/>
        <v>5</v>
      </c>
      <c r="O24" t="str">
        <f t="shared" si="7"/>
        <v>TTS-5A</v>
      </c>
      <c r="T24">
        <v>16211027</v>
      </c>
      <c r="U24" t="s">
        <v>599</v>
      </c>
      <c r="V24" t="s">
        <v>99</v>
      </c>
      <c r="W24" t="s">
        <v>84</v>
      </c>
      <c r="X24" t="s">
        <v>22</v>
      </c>
      <c r="Y24" t="s">
        <v>600</v>
      </c>
      <c r="Z24">
        <v>5</v>
      </c>
      <c r="AA24" t="s">
        <v>550</v>
      </c>
    </row>
    <row r="25" spans="2:27" x14ac:dyDescent="0.25">
      <c r="B25">
        <v>16211028</v>
      </c>
      <c r="C25" t="s">
        <v>229</v>
      </c>
      <c r="D25" t="str">
        <f t="shared" si="0"/>
        <v>CARLOS MANUEL</v>
      </c>
      <c r="E25" t="str">
        <f t="shared" si="1"/>
        <v>XEQUE</v>
      </c>
      <c r="F25" t="str">
        <f t="shared" si="2"/>
        <v>PECH</v>
      </c>
      <c r="H25">
        <f>B25</f>
        <v>16211028</v>
      </c>
      <c r="I25" t="str">
        <f t="shared" si="3"/>
        <v>CARLOS MANUEL</v>
      </c>
      <c r="J25" t="str">
        <f t="shared" si="3"/>
        <v>XEQUE</v>
      </c>
      <c r="K25" t="str">
        <f t="shared" si="3"/>
        <v>PECH</v>
      </c>
      <c r="L25" t="str">
        <f t="shared" si="4"/>
        <v>TTS</v>
      </c>
      <c r="M25" t="str">
        <f t="shared" si="5"/>
        <v>@Utc16211028</v>
      </c>
      <c r="N25">
        <f t="shared" si="6"/>
        <v>5</v>
      </c>
      <c r="O25" t="str">
        <f t="shared" si="7"/>
        <v>TTS-5A</v>
      </c>
      <c r="T25">
        <v>16211028</v>
      </c>
      <c r="U25" t="s">
        <v>601</v>
      </c>
      <c r="V25" t="s">
        <v>602</v>
      </c>
      <c r="W25" t="s">
        <v>16</v>
      </c>
      <c r="X25" t="s">
        <v>22</v>
      </c>
      <c r="Y25" t="s">
        <v>603</v>
      </c>
      <c r="Z25">
        <v>5</v>
      </c>
      <c r="AA25" t="s">
        <v>550</v>
      </c>
    </row>
    <row r="26" spans="2:27" x14ac:dyDescent="0.25">
      <c r="D26" t="e">
        <f t="shared" si="0"/>
        <v>#VALUE!</v>
      </c>
      <c r="E26" t="str">
        <f t="shared" si="1"/>
        <v/>
      </c>
      <c r="F26" t="e">
        <f t="shared" si="2"/>
        <v>#VALUE!</v>
      </c>
      <c r="H26">
        <f>B26</f>
        <v>0</v>
      </c>
      <c r="I26" t="e">
        <f t="shared" si="3"/>
        <v>#VALUE!</v>
      </c>
      <c r="J26" t="str">
        <f t="shared" si="3"/>
        <v/>
      </c>
      <c r="K26" t="e">
        <f t="shared" si="3"/>
        <v>#VALUE!</v>
      </c>
      <c r="L26" t="str">
        <f t="shared" si="4"/>
        <v>TTS</v>
      </c>
      <c r="M26" t="str">
        <f t="shared" si="5"/>
        <v>@Utc0</v>
      </c>
      <c r="N26">
        <f t="shared" si="6"/>
        <v>5</v>
      </c>
      <c r="O26" t="str">
        <f t="shared" si="7"/>
        <v>TTS-5A</v>
      </c>
    </row>
    <row r="27" spans="2:27" x14ac:dyDescent="0.25">
      <c r="D27" t="e">
        <f t="shared" si="0"/>
        <v>#VALUE!</v>
      </c>
      <c r="E27" t="str">
        <f t="shared" si="1"/>
        <v/>
      </c>
      <c r="F27" t="e">
        <f t="shared" si="2"/>
        <v>#VALUE!</v>
      </c>
      <c r="H27">
        <f>B27</f>
        <v>0</v>
      </c>
      <c r="I27" t="e">
        <f t="shared" si="3"/>
        <v>#VALUE!</v>
      </c>
      <c r="J27" t="str">
        <f t="shared" si="3"/>
        <v/>
      </c>
      <c r="K27" t="e">
        <f t="shared" si="3"/>
        <v>#VALUE!</v>
      </c>
      <c r="L27" t="str">
        <f t="shared" si="4"/>
        <v>TTS</v>
      </c>
      <c r="M27" t="str">
        <f t="shared" si="5"/>
        <v>@Utc0</v>
      </c>
      <c r="N27">
        <f t="shared" si="6"/>
        <v>5</v>
      </c>
      <c r="O27" t="str">
        <f t="shared" si="7"/>
        <v>TTS-5A</v>
      </c>
    </row>
    <row r="28" spans="2:27" x14ac:dyDescent="0.25">
      <c r="D28" t="e">
        <f t="shared" si="0"/>
        <v>#VALUE!</v>
      </c>
      <c r="E28" t="str">
        <f t="shared" si="1"/>
        <v/>
      </c>
      <c r="F28" t="e">
        <f t="shared" si="2"/>
        <v>#VALUE!</v>
      </c>
      <c r="H28">
        <f>B28</f>
        <v>0</v>
      </c>
      <c r="I28" t="e">
        <f t="shared" si="3"/>
        <v>#VALUE!</v>
      </c>
      <c r="J28" t="str">
        <f t="shared" si="3"/>
        <v/>
      </c>
      <c r="K28" t="e">
        <f t="shared" si="3"/>
        <v>#VALUE!</v>
      </c>
      <c r="L28" t="str">
        <f t="shared" si="4"/>
        <v>TTS</v>
      </c>
      <c r="M28" t="str">
        <f t="shared" si="5"/>
        <v>@Utc0</v>
      </c>
      <c r="N28">
        <f t="shared" si="6"/>
        <v>5</v>
      </c>
      <c r="O28" t="str">
        <f t="shared" si="7"/>
        <v>TTS-5A</v>
      </c>
    </row>
    <row r="29" spans="2:27" x14ac:dyDescent="0.25">
      <c r="D29" t="e">
        <f t="shared" si="0"/>
        <v>#VALUE!</v>
      </c>
      <c r="E29" t="str">
        <f t="shared" si="1"/>
        <v/>
      </c>
      <c r="F29" t="e">
        <f t="shared" si="2"/>
        <v>#VALUE!</v>
      </c>
      <c r="H29">
        <f>B29</f>
        <v>0</v>
      </c>
      <c r="I29" t="e">
        <f t="shared" si="3"/>
        <v>#VALUE!</v>
      </c>
      <c r="J29" t="str">
        <f t="shared" si="3"/>
        <v/>
      </c>
      <c r="K29" t="e">
        <f t="shared" si="3"/>
        <v>#VALUE!</v>
      </c>
      <c r="L29" t="str">
        <f t="shared" si="4"/>
        <v>TTS</v>
      </c>
      <c r="M29" t="str">
        <f t="shared" si="5"/>
        <v>@Utc0</v>
      </c>
      <c r="N29">
        <f t="shared" si="6"/>
        <v>5</v>
      </c>
      <c r="O29" t="str">
        <f t="shared" si="7"/>
        <v>TTS-5A</v>
      </c>
    </row>
    <row r="30" spans="2:27" x14ac:dyDescent="0.25">
      <c r="H30">
        <f>B30</f>
        <v>0</v>
      </c>
      <c r="I30">
        <f t="shared" si="3"/>
        <v>0</v>
      </c>
      <c r="J30">
        <f t="shared" si="3"/>
        <v>0</v>
      </c>
      <c r="K30">
        <f t="shared" si="3"/>
        <v>0</v>
      </c>
      <c r="L30" t="str">
        <f t="shared" si="4"/>
        <v>TTS</v>
      </c>
    </row>
    <row r="31" spans="2:27" x14ac:dyDescent="0.25">
      <c r="H31">
        <f>B31</f>
        <v>0</v>
      </c>
      <c r="I31">
        <f t="shared" si="3"/>
        <v>0</v>
      </c>
      <c r="J31">
        <f t="shared" si="3"/>
        <v>0</v>
      </c>
      <c r="K31">
        <f t="shared" si="3"/>
        <v>0</v>
      </c>
      <c r="L31" t="str">
        <f t="shared" si="4"/>
        <v>TTS</v>
      </c>
    </row>
    <row r="32" spans="2:27" x14ac:dyDescent="0.25">
      <c r="H32">
        <f>B32</f>
        <v>0</v>
      </c>
      <c r="I32">
        <f t="shared" si="3"/>
        <v>0</v>
      </c>
      <c r="J32">
        <f t="shared" si="3"/>
        <v>0</v>
      </c>
      <c r="K32">
        <f t="shared" si="3"/>
        <v>0</v>
      </c>
      <c r="L32" t="str">
        <f t="shared" si="4"/>
        <v>TTS</v>
      </c>
    </row>
    <row r="33" spans="5:12" x14ac:dyDescent="0.25">
      <c r="H33">
        <f>B33</f>
        <v>0</v>
      </c>
      <c r="I33">
        <f t="shared" si="3"/>
        <v>0</v>
      </c>
      <c r="J33">
        <f t="shared" si="3"/>
        <v>0</v>
      </c>
      <c r="K33">
        <f t="shared" si="3"/>
        <v>0</v>
      </c>
      <c r="L33" t="str">
        <f t="shared" si="4"/>
        <v>TTS</v>
      </c>
    </row>
    <row r="34" spans="5:12" x14ac:dyDescent="0.25">
      <c r="E34" t="str">
        <f t="shared" ref="E34:E49" si="8">ApePat(C34)</f>
        <v/>
      </c>
      <c r="H34">
        <f>B34</f>
        <v>0</v>
      </c>
      <c r="I34">
        <f t="shared" si="3"/>
        <v>0</v>
      </c>
      <c r="J34" t="str">
        <f t="shared" si="3"/>
        <v/>
      </c>
      <c r="K34">
        <f t="shared" si="3"/>
        <v>0</v>
      </c>
    </row>
    <row r="35" spans="5:12" x14ac:dyDescent="0.25">
      <c r="E35" t="str">
        <f t="shared" si="8"/>
        <v/>
      </c>
      <c r="H35">
        <f>B35</f>
        <v>0</v>
      </c>
      <c r="I35">
        <f t="shared" si="3"/>
        <v>0</v>
      </c>
      <c r="J35" t="str">
        <f t="shared" si="3"/>
        <v/>
      </c>
      <c r="K35">
        <f t="shared" si="3"/>
        <v>0</v>
      </c>
    </row>
    <row r="36" spans="5:12" x14ac:dyDescent="0.25">
      <c r="E36" t="str">
        <f t="shared" si="8"/>
        <v/>
      </c>
    </row>
    <row r="37" spans="5:12" x14ac:dyDescent="0.25">
      <c r="E37" t="str">
        <f t="shared" si="8"/>
        <v/>
      </c>
    </row>
    <row r="38" spans="5:12" x14ac:dyDescent="0.25">
      <c r="E38" t="str">
        <f t="shared" si="8"/>
        <v/>
      </c>
    </row>
    <row r="39" spans="5:12" x14ac:dyDescent="0.25">
      <c r="E39" t="str">
        <f t="shared" si="8"/>
        <v/>
      </c>
    </row>
    <row r="40" spans="5:12" x14ac:dyDescent="0.25">
      <c r="E40" t="str">
        <f t="shared" si="8"/>
        <v/>
      </c>
    </row>
    <row r="41" spans="5:12" x14ac:dyDescent="0.25">
      <c r="E41" t="str">
        <f t="shared" si="8"/>
        <v/>
      </c>
    </row>
    <row r="42" spans="5:12" x14ac:dyDescent="0.25">
      <c r="E42" t="str">
        <f t="shared" si="8"/>
        <v/>
      </c>
    </row>
    <row r="43" spans="5:12" x14ac:dyDescent="0.25">
      <c r="E43" t="str">
        <f t="shared" si="8"/>
        <v/>
      </c>
    </row>
    <row r="44" spans="5:12" x14ac:dyDescent="0.25">
      <c r="E44" t="str">
        <f t="shared" si="8"/>
        <v/>
      </c>
    </row>
    <row r="45" spans="5:12" x14ac:dyDescent="0.25">
      <c r="E45" t="str">
        <f t="shared" si="8"/>
        <v/>
      </c>
    </row>
    <row r="46" spans="5:12" x14ac:dyDescent="0.25">
      <c r="E46" t="str">
        <f t="shared" si="8"/>
        <v/>
      </c>
    </row>
    <row r="47" spans="5:12" x14ac:dyDescent="0.25">
      <c r="E47" t="str">
        <f t="shared" si="8"/>
        <v/>
      </c>
    </row>
    <row r="48" spans="5:12" x14ac:dyDescent="0.25">
      <c r="E48" t="str">
        <f t="shared" si="8"/>
        <v/>
      </c>
    </row>
    <row r="49" spans="5:5" x14ac:dyDescent="0.25">
      <c r="E49" t="str">
        <f t="shared" si="8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B1:AA49"/>
  <sheetViews>
    <sheetView topLeftCell="F1" zoomScale="70" zoomScaleNormal="70" workbookViewId="0">
      <selection activeCell="T5" sqref="T5:AA26"/>
    </sheetView>
  </sheetViews>
  <sheetFormatPr baseColWidth="10" defaultRowHeight="15" x14ac:dyDescent="0.25"/>
  <cols>
    <col min="3" max="3" width="15.28515625" customWidth="1"/>
    <col min="4" max="4" width="9.5703125" customWidth="1"/>
    <col min="5" max="5" width="1.7109375" customWidth="1"/>
    <col min="6" max="6" width="12.140625" customWidth="1"/>
    <col min="7" max="7" width="3.28515625" customWidth="1"/>
    <col min="8" max="8" width="15.140625" customWidth="1"/>
    <col min="9" max="9" width="21" customWidth="1"/>
    <col min="10" max="10" width="14.28515625" customWidth="1"/>
    <col min="13" max="13" width="15.85546875" customWidth="1"/>
    <col min="21" max="21" width="18.7109375" customWidth="1"/>
  </cols>
  <sheetData>
    <row r="1" spans="2:27" x14ac:dyDescent="0.25">
      <c r="D1" t="s">
        <v>429</v>
      </c>
      <c r="F1" t="s">
        <v>22</v>
      </c>
    </row>
    <row r="2" spans="2:27" x14ac:dyDescent="0.25">
      <c r="D2" t="s">
        <v>430</v>
      </c>
      <c r="F2">
        <v>2</v>
      </c>
    </row>
    <row r="3" spans="2:27" x14ac:dyDescent="0.25">
      <c r="D3" t="s">
        <v>431</v>
      </c>
      <c r="F3" t="s">
        <v>485</v>
      </c>
    </row>
    <row r="4" spans="2:27" x14ac:dyDescent="0.25">
      <c r="B4" t="s">
        <v>0</v>
      </c>
      <c r="C4" t="s">
        <v>1</v>
      </c>
      <c r="D4" t="s">
        <v>2</v>
      </c>
      <c r="E4" t="s">
        <v>3</v>
      </c>
      <c r="F4" t="s">
        <v>4</v>
      </c>
      <c r="H4" t="s">
        <v>379</v>
      </c>
      <c r="I4" t="s">
        <v>2</v>
      </c>
      <c r="J4" t="s">
        <v>34</v>
      </c>
      <c r="K4" t="s">
        <v>4</v>
      </c>
      <c r="L4" t="s">
        <v>422</v>
      </c>
      <c r="M4" t="s">
        <v>423</v>
      </c>
      <c r="N4" t="s">
        <v>424</v>
      </c>
      <c r="O4" t="s">
        <v>425</v>
      </c>
      <c r="P4" t="s">
        <v>426</v>
      </c>
      <c r="Q4" t="s">
        <v>427</v>
      </c>
      <c r="R4" t="s">
        <v>428</v>
      </c>
    </row>
    <row r="5" spans="2:27" x14ac:dyDescent="0.25">
      <c r="B5">
        <v>17311331</v>
      </c>
      <c r="C5" t="s">
        <v>464</v>
      </c>
      <c r="D5" t="str">
        <f>ExtraeNom(C5)</f>
        <v>LITZY AYLIN</v>
      </c>
      <c r="E5" t="str">
        <f>ApePat(C5)</f>
        <v>AKE</v>
      </c>
      <c r="F5" t="str">
        <f>ApeMat(C5)</f>
        <v>MEZETA</v>
      </c>
      <c r="H5">
        <f>B5</f>
        <v>17311331</v>
      </c>
      <c r="I5" t="str">
        <f>D5</f>
        <v>LITZY AYLIN</v>
      </c>
      <c r="J5" t="str">
        <f>E5</f>
        <v>AKE</v>
      </c>
      <c r="K5" t="str">
        <f>F5</f>
        <v>MEZETA</v>
      </c>
      <c r="L5" t="str">
        <f>F$1</f>
        <v>TTS</v>
      </c>
      <c r="M5" t="str">
        <f>"@Utc" &amp;H5</f>
        <v>@Utc17311331</v>
      </c>
      <c r="N5">
        <f>F$2</f>
        <v>2</v>
      </c>
      <c r="O5" t="str">
        <f>F$3</f>
        <v>TTS-2B</v>
      </c>
      <c r="T5">
        <v>17311331</v>
      </c>
      <c r="U5" t="s">
        <v>486</v>
      </c>
      <c r="V5" t="s">
        <v>487</v>
      </c>
      <c r="W5" t="s">
        <v>488</v>
      </c>
      <c r="X5" t="s">
        <v>22</v>
      </c>
      <c r="Y5" t="s">
        <v>489</v>
      </c>
      <c r="Z5">
        <v>2</v>
      </c>
      <c r="AA5" t="s">
        <v>485</v>
      </c>
    </row>
    <row r="6" spans="2:27" x14ac:dyDescent="0.25">
      <c r="B6">
        <v>17211198</v>
      </c>
      <c r="C6" t="s">
        <v>465</v>
      </c>
      <c r="D6" t="str">
        <f t="shared" ref="D6:D29" si="0">ExtraeNom(C6)</f>
        <v>MIGUEL ARCÁNGEL</v>
      </c>
      <c r="E6" t="str">
        <f t="shared" ref="E6:E29" si="1">ApePat(C6)</f>
        <v>BEH</v>
      </c>
      <c r="F6" t="str">
        <f t="shared" ref="F6:F29" si="2">ApeMat(C6)</f>
        <v>YAM</v>
      </c>
      <c r="H6">
        <f>B6</f>
        <v>17211198</v>
      </c>
      <c r="I6" t="str">
        <f t="shared" ref="I6:K35" si="3">D6</f>
        <v>MIGUEL ARCÁNGEL</v>
      </c>
      <c r="J6" t="str">
        <f t="shared" si="3"/>
        <v>BEH</v>
      </c>
      <c r="K6" t="str">
        <f t="shared" si="3"/>
        <v>YAM</v>
      </c>
      <c r="L6" t="str">
        <f t="shared" ref="L6:L33" si="4">F$1</f>
        <v>TTS</v>
      </c>
      <c r="M6" t="str">
        <f t="shared" ref="M6:M29" si="5">"@Utc" &amp;H6</f>
        <v>@Utc17211198</v>
      </c>
      <c r="N6">
        <f t="shared" ref="N6:N29" si="6">F$2</f>
        <v>2</v>
      </c>
      <c r="O6" t="str">
        <f t="shared" ref="O6:O29" si="7">F$3</f>
        <v>TTS-2B</v>
      </c>
      <c r="T6">
        <v>17211198</v>
      </c>
      <c r="U6" t="s">
        <v>490</v>
      </c>
      <c r="V6" t="s">
        <v>491</v>
      </c>
      <c r="W6" t="s">
        <v>121</v>
      </c>
      <c r="X6" t="s">
        <v>22</v>
      </c>
      <c r="Y6" t="s">
        <v>492</v>
      </c>
      <c r="Z6">
        <v>2</v>
      </c>
      <c r="AA6" t="s">
        <v>485</v>
      </c>
    </row>
    <row r="7" spans="2:27" x14ac:dyDescent="0.25">
      <c r="B7">
        <v>17211200</v>
      </c>
      <c r="C7" t="s">
        <v>466</v>
      </c>
      <c r="D7" t="str">
        <f t="shared" si="0"/>
        <v>SAUL ISAIAS</v>
      </c>
      <c r="E7" t="str">
        <f t="shared" si="1"/>
        <v>CAMPOS</v>
      </c>
      <c r="F7" t="str">
        <f t="shared" si="2"/>
        <v>TEC</v>
      </c>
      <c r="H7">
        <f>B7</f>
        <v>17211200</v>
      </c>
      <c r="I7" t="str">
        <f t="shared" si="3"/>
        <v>SAUL ISAIAS</v>
      </c>
      <c r="J7" t="str">
        <f t="shared" si="3"/>
        <v>CAMPOS</v>
      </c>
      <c r="K7" t="str">
        <f t="shared" si="3"/>
        <v>TEC</v>
      </c>
      <c r="L7" t="str">
        <f t="shared" si="4"/>
        <v>TTS</v>
      </c>
      <c r="M7" t="str">
        <f t="shared" si="5"/>
        <v>@Utc17211200</v>
      </c>
      <c r="N7">
        <f t="shared" si="6"/>
        <v>2</v>
      </c>
      <c r="O7" t="str">
        <f t="shared" si="7"/>
        <v>TTS-2B</v>
      </c>
      <c r="T7">
        <v>17211200</v>
      </c>
      <c r="U7" t="s">
        <v>493</v>
      </c>
      <c r="V7" t="s">
        <v>494</v>
      </c>
      <c r="W7" t="s">
        <v>495</v>
      </c>
      <c r="X7" t="s">
        <v>22</v>
      </c>
      <c r="Y7" t="s">
        <v>496</v>
      </c>
      <c r="Z7">
        <v>2</v>
      </c>
      <c r="AA7" t="s">
        <v>485</v>
      </c>
    </row>
    <row r="8" spans="2:27" x14ac:dyDescent="0.25">
      <c r="B8">
        <v>17211203</v>
      </c>
      <c r="C8" t="s">
        <v>467</v>
      </c>
      <c r="D8" t="str">
        <f t="shared" si="0"/>
        <v>JOSE WILFRIDO</v>
      </c>
      <c r="E8" t="str">
        <f t="shared" si="1"/>
        <v>CANCHE</v>
      </c>
      <c r="F8" t="str">
        <f t="shared" si="2"/>
        <v>KEB</v>
      </c>
      <c r="H8">
        <f>B8</f>
        <v>17211203</v>
      </c>
      <c r="I8" t="str">
        <f t="shared" si="3"/>
        <v>JOSE WILFRIDO</v>
      </c>
      <c r="J8" t="str">
        <f t="shared" si="3"/>
        <v>CANCHE</v>
      </c>
      <c r="K8" t="str">
        <f t="shared" si="3"/>
        <v>KEB</v>
      </c>
      <c r="L8" t="str">
        <f t="shared" si="4"/>
        <v>TTS</v>
      </c>
      <c r="M8" t="str">
        <f t="shared" si="5"/>
        <v>@Utc17211203</v>
      </c>
      <c r="N8">
        <f t="shared" si="6"/>
        <v>2</v>
      </c>
      <c r="O8" t="str">
        <f t="shared" si="7"/>
        <v>TTS-2B</v>
      </c>
      <c r="T8">
        <v>17211203</v>
      </c>
      <c r="U8" t="s">
        <v>497</v>
      </c>
      <c r="V8" t="s">
        <v>7</v>
      </c>
      <c r="W8" t="s">
        <v>498</v>
      </c>
      <c r="X8" t="s">
        <v>22</v>
      </c>
      <c r="Y8" t="s">
        <v>499</v>
      </c>
      <c r="Z8">
        <v>2</v>
      </c>
      <c r="AA8" t="s">
        <v>485</v>
      </c>
    </row>
    <row r="9" spans="2:27" x14ac:dyDescent="0.25">
      <c r="B9">
        <v>17211207</v>
      </c>
      <c r="C9" t="s">
        <v>468</v>
      </c>
      <c r="D9" t="str">
        <f t="shared" si="0"/>
        <v>JESUS MARTIN</v>
      </c>
      <c r="E9" t="str">
        <f t="shared" si="1"/>
        <v>CEN</v>
      </c>
      <c r="F9" t="str">
        <f t="shared" si="2"/>
        <v>MORENO</v>
      </c>
      <c r="H9">
        <f>B9</f>
        <v>17211207</v>
      </c>
      <c r="I9" t="str">
        <f t="shared" si="3"/>
        <v>JESUS MARTIN</v>
      </c>
      <c r="J9" t="str">
        <f t="shared" si="3"/>
        <v>CEN</v>
      </c>
      <c r="K9" t="str">
        <f t="shared" si="3"/>
        <v>MORENO</v>
      </c>
      <c r="L9" t="str">
        <f t="shared" si="4"/>
        <v>TTS</v>
      </c>
      <c r="M9" t="str">
        <f t="shared" si="5"/>
        <v>@Utc17211207</v>
      </c>
      <c r="N9">
        <f t="shared" si="6"/>
        <v>2</v>
      </c>
      <c r="O9" t="str">
        <f t="shared" si="7"/>
        <v>TTS-2B</v>
      </c>
      <c r="T9">
        <v>17211207</v>
      </c>
      <c r="U9" t="s">
        <v>500</v>
      </c>
      <c r="V9" t="s">
        <v>501</v>
      </c>
      <c r="W9" t="s">
        <v>407</v>
      </c>
      <c r="X9" t="s">
        <v>22</v>
      </c>
      <c r="Y9" t="s">
        <v>502</v>
      </c>
      <c r="Z9">
        <v>2</v>
      </c>
      <c r="AA9" t="s">
        <v>485</v>
      </c>
    </row>
    <row r="10" spans="2:27" x14ac:dyDescent="0.25">
      <c r="B10">
        <v>17211211</v>
      </c>
      <c r="C10" t="s">
        <v>469</v>
      </c>
      <c r="D10" t="str">
        <f t="shared" si="0"/>
        <v>ALEJANDRO ABRAHAM</v>
      </c>
      <c r="E10" t="str">
        <f t="shared" si="1"/>
        <v>CIAU</v>
      </c>
      <c r="F10" t="str">
        <f t="shared" si="2"/>
        <v>KAUIL</v>
      </c>
      <c r="H10">
        <f>B10</f>
        <v>17211211</v>
      </c>
      <c r="I10" t="str">
        <f t="shared" si="3"/>
        <v>ALEJANDRO ABRAHAM</v>
      </c>
      <c r="J10" t="str">
        <f t="shared" si="3"/>
        <v>CIAU</v>
      </c>
      <c r="K10" t="str">
        <f t="shared" si="3"/>
        <v>KAUIL</v>
      </c>
      <c r="L10" t="str">
        <f t="shared" si="4"/>
        <v>TTS</v>
      </c>
      <c r="M10" t="str">
        <f t="shared" si="5"/>
        <v>@Utc17211211</v>
      </c>
      <c r="N10">
        <f t="shared" si="6"/>
        <v>2</v>
      </c>
      <c r="O10" t="str">
        <f t="shared" si="7"/>
        <v>TTS-2B</v>
      </c>
      <c r="T10">
        <v>17211211</v>
      </c>
      <c r="U10" t="s">
        <v>503</v>
      </c>
      <c r="V10" t="s">
        <v>504</v>
      </c>
      <c r="W10" t="s">
        <v>411</v>
      </c>
      <c r="X10" t="s">
        <v>22</v>
      </c>
      <c r="Y10" t="s">
        <v>505</v>
      </c>
      <c r="Z10">
        <v>2</v>
      </c>
      <c r="AA10" t="s">
        <v>485</v>
      </c>
    </row>
    <row r="11" spans="2:27" x14ac:dyDescent="0.25">
      <c r="B11">
        <v>17211213</v>
      </c>
      <c r="C11" t="s">
        <v>470</v>
      </c>
      <c r="D11" t="str">
        <f t="shared" si="0"/>
        <v>SANTOS DOMINGO</v>
      </c>
      <c r="E11" t="str">
        <f t="shared" si="1"/>
        <v>COCOM</v>
      </c>
      <c r="F11" t="str">
        <f t="shared" si="2"/>
        <v>COCOM</v>
      </c>
      <c r="H11">
        <f>B11</f>
        <v>17211213</v>
      </c>
      <c r="I11" t="str">
        <f t="shared" si="3"/>
        <v>SANTOS DOMINGO</v>
      </c>
      <c r="J11" t="str">
        <f t="shared" si="3"/>
        <v>COCOM</v>
      </c>
      <c r="K11" t="str">
        <f t="shared" si="3"/>
        <v>COCOM</v>
      </c>
      <c r="L11" t="str">
        <f t="shared" si="4"/>
        <v>TTS</v>
      </c>
      <c r="M11" t="str">
        <f t="shared" si="5"/>
        <v>@Utc17211213</v>
      </c>
      <c r="N11">
        <f t="shared" si="6"/>
        <v>2</v>
      </c>
      <c r="O11" t="str">
        <f t="shared" si="7"/>
        <v>TTS-2B</v>
      </c>
      <c r="T11">
        <v>17211213</v>
      </c>
      <c r="U11" t="s">
        <v>506</v>
      </c>
      <c r="V11" t="s">
        <v>403</v>
      </c>
      <c r="W11" t="s">
        <v>403</v>
      </c>
      <c r="X11" t="s">
        <v>22</v>
      </c>
      <c r="Y11" t="s">
        <v>507</v>
      </c>
      <c r="Z11">
        <v>2</v>
      </c>
      <c r="AA11" t="s">
        <v>485</v>
      </c>
    </row>
    <row r="12" spans="2:27" x14ac:dyDescent="0.25">
      <c r="B12">
        <v>16211007</v>
      </c>
      <c r="C12" t="s">
        <v>471</v>
      </c>
      <c r="D12" t="str">
        <f t="shared" si="0"/>
        <v>JOSUÉ DAVID</v>
      </c>
      <c r="E12" t="str">
        <f t="shared" si="1"/>
        <v>DZIB</v>
      </c>
      <c r="F12" t="str">
        <f t="shared" si="2"/>
        <v>EK</v>
      </c>
      <c r="H12">
        <f>B12</f>
        <v>16211007</v>
      </c>
      <c r="I12" t="str">
        <f t="shared" si="3"/>
        <v>JOSUÉ DAVID</v>
      </c>
      <c r="J12" t="str">
        <f t="shared" si="3"/>
        <v>DZIB</v>
      </c>
      <c r="K12" t="str">
        <f t="shared" si="3"/>
        <v>EK</v>
      </c>
      <c r="L12" t="str">
        <f t="shared" si="4"/>
        <v>TTS</v>
      </c>
      <c r="M12" t="str">
        <f t="shared" si="5"/>
        <v>@Utc16211007</v>
      </c>
      <c r="N12">
        <f t="shared" si="6"/>
        <v>2</v>
      </c>
      <c r="O12" t="str">
        <f t="shared" si="7"/>
        <v>TTS-2B</v>
      </c>
      <c r="T12">
        <v>16211007</v>
      </c>
      <c r="U12" t="s">
        <v>508</v>
      </c>
      <c r="V12" t="s">
        <v>509</v>
      </c>
      <c r="W12" t="s">
        <v>13</v>
      </c>
      <c r="X12" t="s">
        <v>22</v>
      </c>
      <c r="Y12" t="s">
        <v>510</v>
      </c>
      <c r="Z12">
        <v>2</v>
      </c>
      <c r="AA12" t="s">
        <v>485</v>
      </c>
    </row>
    <row r="13" spans="2:27" x14ac:dyDescent="0.25">
      <c r="B13">
        <v>17211215</v>
      </c>
      <c r="C13" t="s">
        <v>472</v>
      </c>
      <c r="D13" t="str">
        <f t="shared" si="0"/>
        <v>RONALDO DOMINGO</v>
      </c>
      <c r="E13" t="str">
        <f t="shared" si="1"/>
        <v>EB</v>
      </c>
      <c r="F13" t="str">
        <f t="shared" si="2"/>
        <v>SANTOS</v>
      </c>
      <c r="H13">
        <f>B13</f>
        <v>17211215</v>
      </c>
      <c r="I13" t="str">
        <f t="shared" si="3"/>
        <v>RONALDO DOMINGO</v>
      </c>
      <c r="J13" t="str">
        <f t="shared" si="3"/>
        <v>EB</v>
      </c>
      <c r="K13" t="str">
        <f t="shared" si="3"/>
        <v>SANTOS</v>
      </c>
      <c r="L13" t="str">
        <f t="shared" si="4"/>
        <v>TTS</v>
      </c>
      <c r="M13" t="str">
        <f t="shared" si="5"/>
        <v>@Utc17211215</v>
      </c>
      <c r="N13">
        <f t="shared" si="6"/>
        <v>2</v>
      </c>
      <c r="O13" t="str">
        <f t="shared" si="7"/>
        <v>TTS-2B</v>
      </c>
      <c r="T13">
        <v>17211215</v>
      </c>
      <c r="U13" t="s">
        <v>511</v>
      </c>
      <c r="V13" t="s">
        <v>512</v>
      </c>
      <c r="W13" t="s">
        <v>513</v>
      </c>
      <c r="X13" t="s">
        <v>22</v>
      </c>
      <c r="Y13" t="s">
        <v>514</v>
      </c>
      <c r="Z13">
        <v>2</v>
      </c>
      <c r="AA13" t="s">
        <v>485</v>
      </c>
    </row>
    <row r="14" spans="2:27" x14ac:dyDescent="0.25">
      <c r="B14">
        <v>17211219</v>
      </c>
      <c r="C14" t="s">
        <v>473</v>
      </c>
      <c r="D14" t="str">
        <f t="shared" si="0"/>
        <v>ESTEBAN DE JESUS</v>
      </c>
      <c r="E14" t="str">
        <f t="shared" si="1"/>
        <v>EUAN</v>
      </c>
      <c r="F14" t="str">
        <f t="shared" si="2"/>
        <v>POOT</v>
      </c>
      <c r="H14">
        <f>B14</f>
        <v>17211219</v>
      </c>
      <c r="I14" t="str">
        <f t="shared" si="3"/>
        <v>ESTEBAN DE JESUS</v>
      </c>
      <c r="J14" t="str">
        <f t="shared" si="3"/>
        <v>EUAN</v>
      </c>
      <c r="K14" t="str">
        <f t="shared" si="3"/>
        <v>POOT</v>
      </c>
      <c r="L14" t="str">
        <f t="shared" si="4"/>
        <v>TTS</v>
      </c>
      <c r="M14" t="str">
        <f t="shared" si="5"/>
        <v>@Utc17211219</v>
      </c>
      <c r="N14">
        <f t="shared" si="6"/>
        <v>2</v>
      </c>
      <c r="O14" t="str">
        <f t="shared" si="7"/>
        <v>TTS-2B</v>
      </c>
      <c r="T14">
        <v>17211219</v>
      </c>
      <c r="U14" t="s">
        <v>515</v>
      </c>
      <c r="V14" t="s">
        <v>404</v>
      </c>
      <c r="W14" t="s">
        <v>421</v>
      </c>
      <c r="X14" t="s">
        <v>22</v>
      </c>
      <c r="Y14" t="s">
        <v>516</v>
      </c>
      <c r="Z14">
        <v>2</v>
      </c>
      <c r="AA14" t="s">
        <v>485</v>
      </c>
    </row>
    <row r="15" spans="2:27" x14ac:dyDescent="0.25">
      <c r="B15">
        <v>17211221</v>
      </c>
      <c r="C15" t="s">
        <v>474</v>
      </c>
      <c r="D15" t="str">
        <f t="shared" si="0"/>
        <v>MARIA GUADALUPE</v>
      </c>
      <c r="E15" t="str">
        <f t="shared" si="1"/>
        <v>GOMEZ</v>
      </c>
      <c r="F15" t="str">
        <f t="shared" si="2"/>
        <v>FRIAS</v>
      </c>
      <c r="H15">
        <f>B15</f>
        <v>17211221</v>
      </c>
      <c r="I15" t="str">
        <f t="shared" si="3"/>
        <v>MARIA GUADALUPE</v>
      </c>
      <c r="J15" t="str">
        <f t="shared" si="3"/>
        <v>GOMEZ</v>
      </c>
      <c r="K15" t="str">
        <f t="shared" si="3"/>
        <v>FRIAS</v>
      </c>
      <c r="L15" t="str">
        <f t="shared" si="4"/>
        <v>TTS</v>
      </c>
      <c r="M15" t="str">
        <f t="shared" si="5"/>
        <v>@Utc17211221</v>
      </c>
      <c r="N15">
        <f t="shared" si="6"/>
        <v>2</v>
      </c>
      <c r="O15" t="str">
        <f t="shared" si="7"/>
        <v>TTS-2B</v>
      </c>
      <c r="T15">
        <v>17211221</v>
      </c>
      <c r="U15" t="s">
        <v>517</v>
      </c>
      <c r="V15" t="s">
        <v>518</v>
      </c>
      <c r="W15" t="s">
        <v>519</v>
      </c>
      <c r="X15" t="s">
        <v>22</v>
      </c>
      <c r="Y15" t="s">
        <v>520</v>
      </c>
      <c r="Z15">
        <v>2</v>
      </c>
      <c r="AA15" t="s">
        <v>485</v>
      </c>
    </row>
    <row r="16" spans="2:27" x14ac:dyDescent="0.25">
      <c r="B16">
        <v>17211223</v>
      </c>
      <c r="C16" t="s">
        <v>475</v>
      </c>
      <c r="D16" t="str">
        <f t="shared" si="0"/>
        <v>JESSICA DEL ROSARIO</v>
      </c>
      <c r="E16" t="str">
        <f t="shared" si="1"/>
        <v>KU</v>
      </c>
      <c r="F16" t="str">
        <f t="shared" si="2"/>
        <v>PECH</v>
      </c>
      <c r="H16">
        <f>B16</f>
        <v>17211223</v>
      </c>
      <c r="I16" t="str">
        <f t="shared" si="3"/>
        <v>JESSICA DEL ROSARIO</v>
      </c>
      <c r="J16" t="str">
        <f t="shared" si="3"/>
        <v>KU</v>
      </c>
      <c r="K16" t="str">
        <f t="shared" si="3"/>
        <v>PECH</v>
      </c>
      <c r="L16" t="str">
        <f t="shared" si="4"/>
        <v>TTS</v>
      </c>
      <c r="M16" t="str">
        <f t="shared" si="5"/>
        <v>@Utc17211223</v>
      </c>
      <c r="N16">
        <f t="shared" si="6"/>
        <v>2</v>
      </c>
      <c r="O16" t="str">
        <f t="shared" si="7"/>
        <v>TTS-2B</v>
      </c>
      <c r="T16">
        <v>17211223</v>
      </c>
      <c r="U16" t="s">
        <v>521</v>
      </c>
      <c r="V16" t="s">
        <v>418</v>
      </c>
      <c r="W16" t="s">
        <v>16</v>
      </c>
      <c r="X16" t="s">
        <v>22</v>
      </c>
      <c r="Y16" t="s">
        <v>522</v>
      </c>
      <c r="Z16">
        <v>2</v>
      </c>
      <c r="AA16" t="s">
        <v>485</v>
      </c>
    </row>
    <row r="17" spans="2:27" x14ac:dyDescent="0.25">
      <c r="B17">
        <v>17211227</v>
      </c>
      <c r="C17" t="s">
        <v>476</v>
      </c>
      <c r="D17" t="str">
        <f t="shared" si="0"/>
        <v>JOHAN OMAR</v>
      </c>
      <c r="E17" t="str">
        <f t="shared" si="1"/>
        <v>MAY</v>
      </c>
      <c r="F17" t="str">
        <f t="shared" si="2"/>
        <v>CHAN</v>
      </c>
      <c r="H17">
        <f>B17</f>
        <v>17211227</v>
      </c>
      <c r="I17" t="str">
        <f t="shared" si="3"/>
        <v>JOHAN OMAR</v>
      </c>
      <c r="J17" t="str">
        <f t="shared" si="3"/>
        <v>MAY</v>
      </c>
      <c r="K17" t="str">
        <f t="shared" si="3"/>
        <v>CHAN</v>
      </c>
      <c r="L17" t="str">
        <f t="shared" si="4"/>
        <v>TTS</v>
      </c>
      <c r="M17" t="str">
        <f t="shared" si="5"/>
        <v>@Utc17211227</v>
      </c>
      <c r="N17">
        <f t="shared" si="6"/>
        <v>2</v>
      </c>
      <c r="O17" t="str">
        <f t="shared" si="7"/>
        <v>TTS-2B</v>
      </c>
      <c r="T17">
        <v>17211227</v>
      </c>
      <c r="U17" t="s">
        <v>523</v>
      </c>
      <c r="V17" t="s">
        <v>11</v>
      </c>
      <c r="W17" t="s">
        <v>64</v>
      </c>
      <c r="X17" t="s">
        <v>22</v>
      </c>
      <c r="Y17" t="s">
        <v>524</v>
      </c>
      <c r="Z17">
        <v>2</v>
      </c>
      <c r="AA17" t="s">
        <v>485</v>
      </c>
    </row>
    <row r="18" spans="2:27" x14ac:dyDescent="0.25">
      <c r="B18">
        <v>17211229</v>
      </c>
      <c r="C18" t="s">
        <v>477</v>
      </c>
      <c r="D18" t="str">
        <f t="shared" si="0"/>
        <v>JORGE ARMANDO</v>
      </c>
      <c r="E18" t="str">
        <f t="shared" si="1"/>
        <v>MAY</v>
      </c>
      <c r="F18" t="str">
        <f t="shared" si="2"/>
        <v>KOYOC</v>
      </c>
      <c r="H18">
        <f>B18</f>
        <v>17211229</v>
      </c>
      <c r="I18" t="str">
        <f t="shared" si="3"/>
        <v>JORGE ARMANDO</v>
      </c>
      <c r="J18" t="str">
        <f t="shared" si="3"/>
        <v>MAY</v>
      </c>
      <c r="K18" t="str">
        <f t="shared" si="3"/>
        <v>KOYOC</v>
      </c>
      <c r="L18" t="str">
        <f t="shared" si="4"/>
        <v>TTS</v>
      </c>
      <c r="M18" t="str">
        <f t="shared" si="5"/>
        <v>@Utc17211229</v>
      </c>
      <c r="N18">
        <f t="shared" si="6"/>
        <v>2</v>
      </c>
      <c r="O18" t="str">
        <f t="shared" si="7"/>
        <v>TTS-2B</v>
      </c>
      <c r="T18">
        <v>17211229</v>
      </c>
      <c r="U18" t="s">
        <v>525</v>
      </c>
      <c r="V18" t="s">
        <v>11</v>
      </c>
      <c r="W18" t="s">
        <v>417</v>
      </c>
      <c r="X18" t="s">
        <v>22</v>
      </c>
      <c r="Y18" t="s">
        <v>526</v>
      </c>
      <c r="Z18">
        <v>2</v>
      </c>
      <c r="AA18" t="s">
        <v>485</v>
      </c>
    </row>
    <row r="19" spans="2:27" x14ac:dyDescent="0.25">
      <c r="B19">
        <v>17211231</v>
      </c>
      <c r="C19" t="s">
        <v>478</v>
      </c>
      <c r="D19" t="str">
        <f t="shared" si="0"/>
        <v>NELSI LETICIA</v>
      </c>
      <c r="E19" t="str">
        <f t="shared" si="1"/>
        <v>MENA</v>
      </c>
      <c r="F19" t="str">
        <f t="shared" si="2"/>
        <v>TAMAY</v>
      </c>
      <c r="H19">
        <f>B19</f>
        <v>17211231</v>
      </c>
      <c r="I19" t="str">
        <f t="shared" si="3"/>
        <v>NELSI LETICIA</v>
      </c>
      <c r="J19" t="str">
        <f t="shared" si="3"/>
        <v>MENA</v>
      </c>
      <c r="K19" t="str">
        <f t="shared" si="3"/>
        <v>TAMAY</v>
      </c>
      <c r="L19" t="str">
        <f t="shared" si="4"/>
        <v>TTS</v>
      </c>
      <c r="M19" t="str">
        <f t="shared" si="5"/>
        <v>@Utc17211231</v>
      </c>
      <c r="N19">
        <f t="shared" si="6"/>
        <v>2</v>
      </c>
      <c r="O19" t="str">
        <f t="shared" si="7"/>
        <v>TTS-2B</v>
      </c>
      <c r="T19">
        <v>17211231</v>
      </c>
      <c r="U19" t="s">
        <v>527</v>
      </c>
      <c r="V19" t="s">
        <v>528</v>
      </c>
      <c r="W19" t="s">
        <v>529</v>
      </c>
      <c r="X19" t="s">
        <v>22</v>
      </c>
      <c r="Y19" t="s">
        <v>530</v>
      </c>
      <c r="Z19">
        <v>2</v>
      </c>
      <c r="AA19" t="s">
        <v>485</v>
      </c>
    </row>
    <row r="20" spans="2:27" x14ac:dyDescent="0.25">
      <c r="B20">
        <v>17211232</v>
      </c>
      <c r="C20" t="s">
        <v>479</v>
      </c>
      <c r="D20" t="str">
        <f t="shared" si="0"/>
        <v>MARTHA BEATRIZ</v>
      </c>
      <c r="E20" t="str">
        <f t="shared" si="1"/>
        <v>MORENO</v>
      </c>
      <c r="F20" t="str">
        <f t="shared" si="2"/>
        <v>IX</v>
      </c>
      <c r="H20">
        <f>B20</f>
        <v>17211232</v>
      </c>
      <c r="I20" t="str">
        <f t="shared" si="3"/>
        <v>MARTHA BEATRIZ</v>
      </c>
      <c r="J20" t="str">
        <f t="shared" si="3"/>
        <v>MORENO</v>
      </c>
      <c r="K20" t="str">
        <f t="shared" si="3"/>
        <v>IX</v>
      </c>
      <c r="L20" t="str">
        <f t="shared" si="4"/>
        <v>TTS</v>
      </c>
      <c r="M20" t="str">
        <f t="shared" si="5"/>
        <v>@Utc17211232</v>
      </c>
      <c r="N20">
        <f t="shared" si="6"/>
        <v>2</v>
      </c>
      <c r="O20" t="str">
        <f t="shared" si="7"/>
        <v>TTS-2B</v>
      </c>
      <c r="T20">
        <v>17211232</v>
      </c>
      <c r="U20" t="s">
        <v>531</v>
      </c>
      <c r="V20" t="s">
        <v>407</v>
      </c>
      <c r="W20" t="s">
        <v>532</v>
      </c>
      <c r="X20" t="s">
        <v>22</v>
      </c>
      <c r="Y20" t="s">
        <v>533</v>
      </c>
      <c r="Z20">
        <v>2</v>
      </c>
      <c r="AA20" t="s">
        <v>485</v>
      </c>
    </row>
    <row r="21" spans="2:27" x14ac:dyDescent="0.25">
      <c r="B21">
        <v>17211234</v>
      </c>
      <c r="C21" t="s">
        <v>480</v>
      </c>
      <c r="D21" t="str">
        <f t="shared" si="0"/>
        <v>SERGIO ALEJANDRO</v>
      </c>
      <c r="E21" t="str">
        <f t="shared" si="1"/>
        <v>NOVELO</v>
      </c>
      <c r="F21" t="str">
        <f t="shared" si="2"/>
        <v>MIS</v>
      </c>
      <c r="H21">
        <f>B21</f>
        <v>17211234</v>
      </c>
      <c r="I21" t="str">
        <f t="shared" si="3"/>
        <v>SERGIO ALEJANDRO</v>
      </c>
      <c r="J21" t="str">
        <f t="shared" si="3"/>
        <v>NOVELO</v>
      </c>
      <c r="K21" t="str">
        <f t="shared" si="3"/>
        <v>MIS</v>
      </c>
      <c r="L21" t="str">
        <f t="shared" si="4"/>
        <v>TTS</v>
      </c>
      <c r="M21" t="str">
        <f t="shared" si="5"/>
        <v>@Utc17211234</v>
      </c>
      <c r="N21">
        <f t="shared" si="6"/>
        <v>2</v>
      </c>
      <c r="O21" t="str">
        <f t="shared" si="7"/>
        <v>TTS-2B</v>
      </c>
      <c r="T21">
        <v>17211234</v>
      </c>
      <c r="U21" t="s">
        <v>534</v>
      </c>
      <c r="V21" t="s">
        <v>535</v>
      </c>
      <c r="W21" t="s">
        <v>536</v>
      </c>
      <c r="X21" t="s">
        <v>22</v>
      </c>
      <c r="Y21" t="s">
        <v>537</v>
      </c>
      <c r="Z21">
        <v>2</v>
      </c>
      <c r="AA21" t="s">
        <v>485</v>
      </c>
    </row>
    <row r="22" spans="2:27" x14ac:dyDescent="0.25">
      <c r="B22">
        <v>16211022</v>
      </c>
      <c r="C22" t="s">
        <v>223</v>
      </c>
      <c r="D22" t="str">
        <f t="shared" si="0"/>
        <v>JUAN CARLOS</v>
      </c>
      <c r="E22" t="str">
        <f t="shared" si="1"/>
        <v>PECH</v>
      </c>
      <c r="F22" t="str">
        <f t="shared" si="2"/>
        <v>ESTRELLA</v>
      </c>
      <c r="H22">
        <f>B22</f>
        <v>16211022</v>
      </c>
      <c r="I22" t="str">
        <f t="shared" si="3"/>
        <v>JUAN CARLOS</v>
      </c>
      <c r="J22" t="str">
        <f t="shared" si="3"/>
        <v>PECH</v>
      </c>
      <c r="K22" t="str">
        <f t="shared" si="3"/>
        <v>ESTRELLA</v>
      </c>
      <c r="L22" t="str">
        <f t="shared" si="4"/>
        <v>TTS</v>
      </c>
      <c r="M22" t="str">
        <f t="shared" si="5"/>
        <v>@Utc16211022</v>
      </c>
      <c r="N22">
        <f t="shared" si="6"/>
        <v>2</v>
      </c>
      <c r="O22" t="str">
        <f t="shared" si="7"/>
        <v>TTS-2B</v>
      </c>
      <c r="T22">
        <v>16211022</v>
      </c>
      <c r="U22" t="s">
        <v>538</v>
      </c>
      <c r="V22" t="s">
        <v>16</v>
      </c>
      <c r="W22" t="s">
        <v>87</v>
      </c>
      <c r="X22" t="s">
        <v>22</v>
      </c>
      <c r="Y22" t="s">
        <v>539</v>
      </c>
      <c r="Z22">
        <v>2</v>
      </c>
      <c r="AA22" t="s">
        <v>485</v>
      </c>
    </row>
    <row r="23" spans="2:27" x14ac:dyDescent="0.25">
      <c r="B23">
        <v>17211236</v>
      </c>
      <c r="C23" t="s">
        <v>481</v>
      </c>
      <c r="D23" t="str">
        <f t="shared" si="0"/>
        <v>MIGUEL ANGEL</v>
      </c>
      <c r="E23" t="str">
        <f t="shared" si="1"/>
        <v>PECH</v>
      </c>
      <c r="F23" t="str">
        <f t="shared" si="2"/>
        <v>KANTUN</v>
      </c>
      <c r="H23">
        <f>B23</f>
        <v>17211236</v>
      </c>
      <c r="I23" t="str">
        <f t="shared" si="3"/>
        <v>MIGUEL ANGEL</v>
      </c>
      <c r="J23" t="str">
        <f t="shared" si="3"/>
        <v>PECH</v>
      </c>
      <c r="K23" t="str">
        <f t="shared" si="3"/>
        <v>KANTUN</v>
      </c>
      <c r="L23" t="str">
        <f t="shared" si="4"/>
        <v>TTS</v>
      </c>
      <c r="M23" t="str">
        <f t="shared" si="5"/>
        <v>@Utc17211236</v>
      </c>
      <c r="N23">
        <f t="shared" si="6"/>
        <v>2</v>
      </c>
      <c r="O23" t="str">
        <f t="shared" si="7"/>
        <v>TTS-2B</v>
      </c>
      <c r="T23">
        <v>17211236</v>
      </c>
      <c r="U23" t="s">
        <v>386</v>
      </c>
      <c r="V23" t="s">
        <v>16</v>
      </c>
      <c r="W23" t="s">
        <v>540</v>
      </c>
      <c r="X23" t="s">
        <v>22</v>
      </c>
      <c r="Y23" t="s">
        <v>541</v>
      </c>
      <c r="Z23">
        <v>2</v>
      </c>
      <c r="AA23" t="s">
        <v>485</v>
      </c>
    </row>
    <row r="24" spans="2:27" x14ac:dyDescent="0.25">
      <c r="B24">
        <v>17211238</v>
      </c>
      <c r="C24" t="s">
        <v>482</v>
      </c>
      <c r="D24" t="str">
        <f t="shared" si="0"/>
        <v>JORGE ALEJANDRO</v>
      </c>
      <c r="E24" t="str">
        <f t="shared" si="1"/>
        <v>POOT</v>
      </c>
      <c r="F24" t="str">
        <f t="shared" si="2"/>
        <v>VENANCIO</v>
      </c>
      <c r="H24">
        <f>B24</f>
        <v>17211238</v>
      </c>
      <c r="I24" t="str">
        <f t="shared" si="3"/>
        <v>JORGE ALEJANDRO</v>
      </c>
      <c r="J24" t="str">
        <f t="shared" si="3"/>
        <v>POOT</v>
      </c>
      <c r="K24" t="str">
        <f t="shared" si="3"/>
        <v>VENANCIO</v>
      </c>
      <c r="L24" t="str">
        <f t="shared" si="4"/>
        <v>TTS</v>
      </c>
      <c r="M24" t="str">
        <f t="shared" si="5"/>
        <v>@Utc17211238</v>
      </c>
      <c r="N24">
        <f t="shared" si="6"/>
        <v>2</v>
      </c>
      <c r="O24" t="str">
        <f t="shared" si="7"/>
        <v>TTS-2B</v>
      </c>
      <c r="T24">
        <v>17211238</v>
      </c>
      <c r="U24" t="s">
        <v>392</v>
      </c>
      <c r="V24" t="s">
        <v>421</v>
      </c>
      <c r="W24" t="s">
        <v>542</v>
      </c>
      <c r="X24" t="s">
        <v>22</v>
      </c>
      <c r="Y24" t="s">
        <v>543</v>
      </c>
      <c r="Z24">
        <v>2</v>
      </c>
      <c r="AA24" t="s">
        <v>485</v>
      </c>
    </row>
    <row r="25" spans="2:27" x14ac:dyDescent="0.25">
      <c r="B25">
        <v>17211244</v>
      </c>
      <c r="C25" t="s">
        <v>483</v>
      </c>
      <c r="D25" t="str">
        <f t="shared" si="0"/>
        <v>MARIA GUADALUPE DE JESUS</v>
      </c>
      <c r="E25" t="str">
        <f t="shared" si="1"/>
        <v>TAMAYO</v>
      </c>
      <c r="F25" t="str">
        <f t="shared" si="2"/>
        <v>CHAN</v>
      </c>
      <c r="H25">
        <f>B25</f>
        <v>17211244</v>
      </c>
      <c r="I25" t="str">
        <f t="shared" si="3"/>
        <v>MARIA GUADALUPE DE JESUS</v>
      </c>
      <c r="J25" t="str">
        <f t="shared" si="3"/>
        <v>TAMAYO</v>
      </c>
      <c r="K25" t="str">
        <f t="shared" si="3"/>
        <v>CHAN</v>
      </c>
      <c r="L25" t="str">
        <f t="shared" si="4"/>
        <v>TTS</v>
      </c>
      <c r="M25" t="str">
        <f t="shared" si="5"/>
        <v>@Utc17211244</v>
      </c>
      <c r="N25">
        <f t="shared" si="6"/>
        <v>2</v>
      </c>
      <c r="O25" t="str">
        <f t="shared" si="7"/>
        <v>TTS-2B</v>
      </c>
      <c r="T25">
        <v>17211244</v>
      </c>
      <c r="U25" t="s">
        <v>544</v>
      </c>
      <c r="V25" t="s">
        <v>545</v>
      </c>
      <c r="W25" t="s">
        <v>64</v>
      </c>
      <c r="X25" t="s">
        <v>22</v>
      </c>
      <c r="Y25" t="s">
        <v>546</v>
      </c>
      <c r="Z25">
        <v>2</v>
      </c>
      <c r="AA25" t="s">
        <v>485</v>
      </c>
    </row>
    <row r="26" spans="2:27" x14ac:dyDescent="0.25">
      <c r="B26">
        <v>17211246</v>
      </c>
      <c r="C26" t="s">
        <v>484</v>
      </c>
      <c r="D26" t="str">
        <f t="shared" si="0"/>
        <v>FELIPE DE JESUS</v>
      </c>
      <c r="E26" t="str">
        <f t="shared" si="1"/>
        <v>UUH</v>
      </c>
      <c r="F26" t="str">
        <f t="shared" si="2"/>
        <v>MAY</v>
      </c>
      <c r="H26">
        <f>B26</f>
        <v>17211246</v>
      </c>
      <c r="I26" t="str">
        <f t="shared" si="3"/>
        <v>FELIPE DE JESUS</v>
      </c>
      <c r="J26" t="str">
        <f t="shared" si="3"/>
        <v>UUH</v>
      </c>
      <c r="K26" t="str">
        <f t="shared" si="3"/>
        <v>MAY</v>
      </c>
      <c r="L26" t="str">
        <f t="shared" si="4"/>
        <v>TTS</v>
      </c>
      <c r="M26" t="str">
        <f t="shared" si="5"/>
        <v>@Utc17211246</v>
      </c>
      <c r="N26">
        <f t="shared" si="6"/>
        <v>2</v>
      </c>
      <c r="O26" t="str">
        <f t="shared" si="7"/>
        <v>TTS-2B</v>
      </c>
      <c r="T26">
        <v>17211246</v>
      </c>
      <c r="U26" t="s">
        <v>547</v>
      </c>
      <c r="V26" t="s">
        <v>9</v>
      </c>
      <c r="W26" t="s">
        <v>11</v>
      </c>
      <c r="X26" t="s">
        <v>22</v>
      </c>
      <c r="Y26" t="s">
        <v>548</v>
      </c>
      <c r="Z26">
        <v>2</v>
      </c>
      <c r="AA26" t="s">
        <v>485</v>
      </c>
    </row>
    <row r="27" spans="2:27" x14ac:dyDescent="0.25">
      <c r="D27" t="e">
        <f t="shared" si="0"/>
        <v>#VALUE!</v>
      </c>
      <c r="E27" t="str">
        <f t="shared" si="1"/>
        <v/>
      </c>
      <c r="F27" t="e">
        <f t="shared" si="2"/>
        <v>#VALUE!</v>
      </c>
      <c r="H27">
        <f>B27</f>
        <v>0</v>
      </c>
      <c r="I27" t="e">
        <f t="shared" si="3"/>
        <v>#VALUE!</v>
      </c>
      <c r="J27" t="str">
        <f t="shared" si="3"/>
        <v/>
      </c>
      <c r="K27" t="e">
        <f t="shared" si="3"/>
        <v>#VALUE!</v>
      </c>
      <c r="L27" t="str">
        <f t="shared" si="4"/>
        <v>TTS</v>
      </c>
      <c r="M27" t="str">
        <f t="shared" si="5"/>
        <v>@Utc0</v>
      </c>
      <c r="N27">
        <f t="shared" si="6"/>
        <v>2</v>
      </c>
      <c r="O27" t="str">
        <f t="shared" si="7"/>
        <v>TTS-2B</v>
      </c>
    </row>
    <row r="28" spans="2:27" x14ac:dyDescent="0.25">
      <c r="D28" t="e">
        <f t="shared" si="0"/>
        <v>#VALUE!</v>
      </c>
      <c r="E28" t="str">
        <f t="shared" si="1"/>
        <v/>
      </c>
      <c r="F28" t="e">
        <f t="shared" si="2"/>
        <v>#VALUE!</v>
      </c>
      <c r="H28">
        <f>B28</f>
        <v>0</v>
      </c>
      <c r="I28" t="e">
        <f t="shared" si="3"/>
        <v>#VALUE!</v>
      </c>
      <c r="J28" t="str">
        <f t="shared" si="3"/>
        <v/>
      </c>
      <c r="K28" t="e">
        <f t="shared" si="3"/>
        <v>#VALUE!</v>
      </c>
      <c r="L28" t="str">
        <f t="shared" si="4"/>
        <v>TTS</v>
      </c>
      <c r="M28" t="str">
        <f t="shared" si="5"/>
        <v>@Utc0</v>
      </c>
      <c r="N28">
        <f t="shared" si="6"/>
        <v>2</v>
      </c>
      <c r="O28" t="str">
        <f t="shared" si="7"/>
        <v>TTS-2B</v>
      </c>
    </row>
    <row r="29" spans="2:27" x14ac:dyDescent="0.25">
      <c r="D29" t="e">
        <f t="shared" si="0"/>
        <v>#VALUE!</v>
      </c>
      <c r="E29" t="str">
        <f t="shared" si="1"/>
        <v/>
      </c>
      <c r="F29" t="e">
        <f t="shared" si="2"/>
        <v>#VALUE!</v>
      </c>
      <c r="H29">
        <f>B29</f>
        <v>0</v>
      </c>
      <c r="I29" t="e">
        <f t="shared" si="3"/>
        <v>#VALUE!</v>
      </c>
      <c r="J29" t="str">
        <f t="shared" si="3"/>
        <v/>
      </c>
      <c r="K29" t="e">
        <f t="shared" si="3"/>
        <v>#VALUE!</v>
      </c>
      <c r="L29" t="str">
        <f t="shared" si="4"/>
        <v>TTS</v>
      </c>
      <c r="M29" t="str">
        <f t="shared" si="5"/>
        <v>@Utc0</v>
      </c>
      <c r="N29">
        <f t="shared" si="6"/>
        <v>2</v>
      </c>
      <c r="O29" t="str">
        <f t="shared" si="7"/>
        <v>TTS-2B</v>
      </c>
    </row>
    <row r="30" spans="2:27" x14ac:dyDescent="0.25">
      <c r="H30">
        <f>B30</f>
        <v>0</v>
      </c>
      <c r="I30">
        <f t="shared" si="3"/>
        <v>0</v>
      </c>
      <c r="J30">
        <f t="shared" si="3"/>
        <v>0</v>
      </c>
      <c r="K30">
        <f t="shared" si="3"/>
        <v>0</v>
      </c>
      <c r="L30" t="str">
        <f t="shared" si="4"/>
        <v>TTS</v>
      </c>
    </row>
    <row r="31" spans="2:27" x14ac:dyDescent="0.25">
      <c r="H31">
        <f>B31</f>
        <v>0</v>
      </c>
      <c r="I31">
        <f t="shared" si="3"/>
        <v>0</v>
      </c>
      <c r="J31">
        <f t="shared" si="3"/>
        <v>0</v>
      </c>
      <c r="K31">
        <f t="shared" si="3"/>
        <v>0</v>
      </c>
      <c r="L31" t="str">
        <f t="shared" si="4"/>
        <v>TTS</v>
      </c>
    </row>
    <row r="32" spans="2:27" x14ac:dyDescent="0.25">
      <c r="H32">
        <f>B32</f>
        <v>0</v>
      </c>
      <c r="I32">
        <f t="shared" si="3"/>
        <v>0</v>
      </c>
      <c r="J32">
        <f t="shared" si="3"/>
        <v>0</v>
      </c>
      <c r="K32">
        <f t="shared" si="3"/>
        <v>0</v>
      </c>
      <c r="L32" t="str">
        <f t="shared" si="4"/>
        <v>TTS</v>
      </c>
    </row>
    <row r="33" spans="5:12" x14ac:dyDescent="0.25">
      <c r="H33">
        <f>B33</f>
        <v>0</v>
      </c>
      <c r="I33">
        <f t="shared" si="3"/>
        <v>0</v>
      </c>
      <c r="J33">
        <f t="shared" si="3"/>
        <v>0</v>
      </c>
      <c r="K33">
        <f t="shared" si="3"/>
        <v>0</v>
      </c>
      <c r="L33" t="str">
        <f t="shared" si="4"/>
        <v>TTS</v>
      </c>
    </row>
    <row r="34" spans="5:12" x14ac:dyDescent="0.25">
      <c r="E34" t="str">
        <f t="shared" ref="E34:E49" si="8">ApePat(C34)</f>
        <v/>
      </c>
      <c r="H34">
        <f>B34</f>
        <v>0</v>
      </c>
      <c r="I34">
        <f t="shared" si="3"/>
        <v>0</v>
      </c>
      <c r="J34" t="str">
        <f t="shared" si="3"/>
        <v/>
      </c>
      <c r="K34">
        <f t="shared" si="3"/>
        <v>0</v>
      </c>
    </row>
    <row r="35" spans="5:12" x14ac:dyDescent="0.25">
      <c r="E35" t="str">
        <f t="shared" si="8"/>
        <v/>
      </c>
      <c r="H35">
        <f>B35</f>
        <v>0</v>
      </c>
      <c r="I35">
        <f t="shared" si="3"/>
        <v>0</v>
      </c>
      <c r="J35" t="str">
        <f t="shared" si="3"/>
        <v/>
      </c>
      <c r="K35">
        <f t="shared" si="3"/>
        <v>0</v>
      </c>
    </row>
    <row r="36" spans="5:12" x14ac:dyDescent="0.25">
      <c r="E36" t="str">
        <f t="shared" si="8"/>
        <v/>
      </c>
    </row>
    <row r="37" spans="5:12" x14ac:dyDescent="0.25">
      <c r="E37" t="str">
        <f t="shared" si="8"/>
        <v/>
      </c>
    </row>
    <row r="38" spans="5:12" x14ac:dyDescent="0.25">
      <c r="E38" t="str">
        <f t="shared" si="8"/>
        <v/>
      </c>
    </row>
    <row r="39" spans="5:12" x14ac:dyDescent="0.25">
      <c r="E39" t="str">
        <f t="shared" si="8"/>
        <v/>
      </c>
    </row>
    <row r="40" spans="5:12" x14ac:dyDescent="0.25">
      <c r="E40" t="str">
        <f t="shared" si="8"/>
        <v/>
      </c>
    </row>
    <row r="41" spans="5:12" x14ac:dyDescent="0.25">
      <c r="E41" t="str">
        <f t="shared" si="8"/>
        <v/>
      </c>
    </row>
    <row r="42" spans="5:12" x14ac:dyDescent="0.25">
      <c r="E42" t="str">
        <f t="shared" si="8"/>
        <v/>
      </c>
    </row>
    <row r="43" spans="5:12" x14ac:dyDescent="0.25">
      <c r="E43" t="str">
        <f t="shared" si="8"/>
        <v/>
      </c>
    </row>
    <row r="44" spans="5:12" x14ac:dyDescent="0.25">
      <c r="E44" t="str">
        <f t="shared" si="8"/>
        <v/>
      </c>
    </row>
    <row r="45" spans="5:12" x14ac:dyDescent="0.25">
      <c r="E45" t="str">
        <f t="shared" si="8"/>
        <v/>
      </c>
    </row>
    <row r="46" spans="5:12" x14ac:dyDescent="0.25">
      <c r="E46" t="str">
        <f t="shared" si="8"/>
        <v/>
      </c>
    </row>
    <row r="47" spans="5:12" x14ac:dyDescent="0.25">
      <c r="E47" t="str">
        <f t="shared" si="8"/>
        <v/>
      </c>
    </row>
    <row r="48" spans="5:12" x14ac:dyDescent="0.25">
      <c r="E48" t="str">
        <f t="shared" si="8"/>
        <v/>
      </c>
    </row>
    <row r="49" spans="5:5" x14ac:dyDescent="0.25">
      <c r="E49" t="str">
        <f t="shared" si="8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1:AB49"/>
  <sheetViews>
    <sheetView zoomScale="70" zoomScaleNormal="70" workbookViewId="0">
      <selection activeCell="U4" sqref="U4:AB28"/>
    </sheetView>
  </sheetViews>
  <sheetFormatPr baseColWidth="10" defaultRowHeight="15" x14ac:dyDescent="0.25"/>
  <cols>
    <col min="3" max="3" width="2.5703125" customWidth="1"/>
    <col min="4" max="4" width="3.85546875" customWidth="1"/>
    <col min="5" max="5" width="9.5703125" customWidth="1"/>
    <col min="6" max="6" width="1.7109375" customWidth="1"/>
    <col min="7" max="7" width="12.140625" customWidth="1"/>
    <col min="8" max="8" width="3.28515625" customWidth="1"/>
    <col min="9" max="9" width="15.140625" customWidth="1"/>
    <col min="10" max="10" width="21" customWidth="1"/>
    <col min="11" max="11" width="14.28515625" customWidth="1"/>
    <col min="14" max="14" width="15.85546875" customWidth="1"/>
  </cols>
  <sheetData>
    <row r="1" spans="2:28" x14ac:dyDescent="0.25">
      <c r="E1" t="s">
        <v>429</v>
      </c>
      <c r="G1" t="s">
        <v>22</v>
      </c>
    </row>
    <row r="2" spans="2:28" x14ac:dyDescent="0.25">
      <c r="E2" t="s">
        <v>430</v>
      </c>
      <c r="G2">
        <v>2</v>
      </c>
    </row>
    <row r="3" spans="2:28" x14ac:dyDescent="0.25">
      <c r="E3" t="s">
        <v>431</v>
      </c>
      <c r="G3" t="s">
        <v>432</v>
      </c>
    </row>
    <row r="4" spans="2:28" x14ac:dyDescent="0.25">
      <c r="B4" t="s">
        <v>0</v>
      </c>
      <c r="D4" t="s">
        <v>1</v>
      </c>
      <c r="E4" t="s">
        <v>2</v>
      </c>
      <c r="F4" t="s">
        <v>3</v>
      </c>
      <c r="G4" t="s">
        <v>4</v>
      </c>
      <c r="I4" t="s">
        <v>379</v>
      </c>
      <c r="J4" t="s">
        <v>2</v>
      </c>
      <c r="K4" t="s">
        <v>34</v>
      </c>
      <c r="L4" t="s">
        <v>4</v>
      </c>
      <c r="M4" t="s">
        <v>422</v>
      </c>
      <c r="N4" t="s">
        <v>423</v>
      </c>
      <c r="O4" t="s">
        <v>424</v>
      </c>
      <c r="P4" t="s">
        <v>425</v>
      </c>
      <c r="Q4" t="s">
        <v>426</v>
      </c>
      <c r="R4" t="s">
        <v>427</v>
      </c>
      <c r="S4" t="s">
        <v>428</v>
      </c>
      <c r="U4">
        <v>17211197</v>
      </c>
      <c r="V4" t="s">
        <v>380</v>
      </c>
      <c r="W4" t="s">
        <v>402</v>
      </c>
      <c r="X4" t="s">
        <v>411</v>
      </c>
      <c r="Y4" t="s">
        <v>22</v>
      </c>
      <c r="Z4" t="s">
        <v>433</v>
      </c>
      <c r="AA4">
        <v>2</v>
      </c>
      <c r="AB4" t="s">
        <v>432</v>
      </c>
    </row>
    <row r="5" spans="2:28" x14ac:dyDescent="0.25">
      <c r="B5">
        <v>17211197</v>
      </c>
      <c r="D5" t="s">
        <v>354</v>
      </c>
      <c r="E5" t="str">
        <f>ExtraeNom(D5)</f>
        <v>EDUARDO</v>
      </c>
      <c r="F5" t="str">
        <f>ApePat(D5)</f>
        <v>BAAS</v>
      </c>
      <c r="G5" t="str">
        <f>ApeMat(D5)</f>
        <v>KAUIL</v>
      </c>
      <c r="I5">
        <f>B5</f>
        <v>17211197</v>
      </c>
      <c r="J5" t="str">
        <f>E5</f>
        <v>EDUARDO</v>
      </c>
      <c r="K5" t="str">
        <f>F5</f>
        <v>BAAS</v>
      </c>
      <c r="L5" t="str">
        <f>G5</f>
        <v>KAUIL</v>
      </c>
      <c r="M5" t="str">
        <f>G$1</f>
        <v>TTS</v>
      </c>
      <c r="N5" t="str">
        <f>"@Utc" &amp;I5</f>
        <v>@Utc17211197</v>
      </c>
      <c r="O5">
        <f>G$2</f>
        <v>2</v>
      </c>
      <c r="P5" t="str">
        <f>G$3</f>
        <v>TTS-2A</v>
      </c>
      <c r="U5">
        <v>17211199</v>
      </c>
      <c r="V5" t="s">
        <v>381</v>
      </c>
      <c r="W5" t="s">
        <v>5</v>
      </c>
      <c r="X5" t="s">
        <v>412</v>
      </c>
      <c r="Y5" t="s">
        <v>22</v>
      </c>
      <c r="Z5" t="s">
        <v>434</v>
      </c>
      <c r="AA5">
        <v>2</v>
      </c>
      <c r="AB5" t="s">
        <v>432</v>
      </c>
    </row>
    <row r="6" spans="2:28" x14ac:dyDescent="0.25">
      <c r="B6">
        <v>17211199</v>
      </c>
      <c r="D6" t="s">
        <v>355</v>
      </c>
      <c r="E6" t="str">
        <f t="shared" ref="E6:E29" si="0">ExtraeNom(D6)</f>
        <v>JACOB ALFREDO</v>
      </c>
      <c r="F6" t="str">
        <f t="shared" ref="F6:F29" si="1">ApePat(D6)</f>
        <v>CAAMAL</v>
      </c>
      <c r="G6" t="str">
        <f t="shared" ref="G6:G29" si="2">ApeMat(D6)</f>
        <v>HERNANDEZ</v>
      </c>
      <c r="I6">
        <f t="shared" ref="I6:I35" si="3">B6</f>
        <v>17211199</v>
      </c>
      <c r="J6" t="str">
        <f t="shared" ref="J6:J35" si="4">E6</f>
        <v>JACOB ALFREDO</v>
      </c>
      <c r="K6" t="str">
        <f t="shared" ref="K6:K35" si="5">F6</f>
        <v>CAAMAL</v>
      </c>
      <c r="L6" t="str">
        <f t="shared" ref="L6:L35" si="6">G6</f>
        <v>HERNANDEZ</v>
      </c>
      <c r="M6" t="str">
        <f t="shared" ref="M6:M33" si="7">G$1</f>
        <v>TTS</v>
      </c>
      <c r="N6" t="str">
        <f t="shared" ref="N6:N29" si="8">"@Utc" &amp;I6</f>
        <v>@Utc17211199</v>
      </c>
      <c r="O6">
        <f t="shared" ref="O6:O29" si="9">G$2</f>
        <v>2</v>
      </c>
      <c r="P6" t="str">
        <f t="shared" ref="P6:P29" si="10">G$3</f>
        <v>TTS-2A</v>
      </c>
      <c r="U6">
        <v>17211202</v>
      </c>
      <c r="V6" t="s">
        <v>382</v>
      </c>
      <c r="W6" t="s">
        <v>7</v>
      </c>
      <c r="X6" t="s">
        <v>10</v>
      </c>
      <c r="Y6" t="s">
        <v>22</v>
      </c>
      <c r="Z6" t="s">
        <v>435</v>
      </c>
      <c r="AA6">
        <v>2</v>
      </c>
      <c r="AB6" t="s">
        <v>432</v>
      </c>
    </row>
    <row r="7" spans="2:28" x14ac:dyDescent="0.25">
      <c r="B7">
        <v>17211202</v>
      </c>
      <c r="D7" t="s">
        <v>356</v>
      </c>
      <c r="E7" t="str">
        <f t="shared" si="0"/>
        <v>DAMIAN ISRAEL</v>
      </c>
      <c r="F7" t="str">
        <f t="shared" si="1"/>
        <v>CANCHE</v>
      </c>
      <c r="G7" t="str">
        <f t="shared" si="2"/>
        <v>CANUL</v>
      </c>
      <c r="I7">
        <f t="shared" si="3"/>
        <v>17211202</v>
      </c>
      <c r="J7" t="str">
        <f t="shared" si="4"/>
        <v>DAMIAN ISRAEL</v>
      </c>
      <c r="K7" t="str">
        <f t="shared" si="5"/>
        <v>CANCHE</v>
      </c>
      <c r="L7" t="str">
        <f t="shared" si="6"/>
        <v>CANUL</v>
      </c>
      <c r="M7" t="str">
        <f t="shared" si="7"/>
        <v>TTS</v>
      </c>
      <c r="N7" t="str">
        <f t="shared" si="8"/>
        <v>@Utc17211202</v>
      </c>
      <c r="O7">
        <f t="shared" si="9"/>
        <v>2</v>
      </c>
      <c r="P7" t="str">
        <f t="shared" si="10"/>
        <v>TTS-2A</v>
      </c>
      <c r="U7">
        <v>17211204</v>
      </c>
      <c r="V7" t="s">
        <v>383</v>
      </c>
      <c r="W7" t="s">
        <v>10</v>
      </c>
      <c r="X7" t="s">
        <v>91</v>
      </c>
      <c r="Y7" t="s">
        <v>22</v>
      </c>
      <c r="Z7" t="s">
        <v>436</v>
      </c>
      <c r="AA7">
        <v>2</v>
      </c>
      <c r="AB7" t="s">
        <v>432</v>
      </c>
    </row>
    <row r="8" spans="2:28" x14ac:dyDescent="0.25">
      <c r="B8">
        <v>17211204</v>
      </c>
      <c r="D8" t="s">
        <v>357</v>
      </c>
      <c r="E8" t="str">
        <f t="shared" si="0"/>
        <v>JOSE LUIS</v>
      </c>
      <c r="F8" t="str">
        <f t="shared" si="1"/>
        <v>CANUL</v>
      </c>
      <c r="G8" t="str">
        <f t="shared" si="2"/>
        <v>BALAM</v>
      </c>
      <c r="I8">
        <f t="shared" si="3"/>
        <v>17211204</v>
      </c>
      <c r="J8" t="str">
        <f t="shared" si="4"/>
        <v>JOSE LUIS</v>
      </c>
      <c r="K8" t="str">
        <f t="shared" si="5"/>
        <v>CANUL</v>
      </c>
      <c r="L8" t="str">
        <f t="shared" si="6"/>
        <v>BALAM</v>
      </c>
      <c r="M8" t="str">
        <f t="shared" si="7"/>
        <v>TTS</v>
      </c>
      <c r="N8" t="str">
        <f t="shared" si="8"/>
        <v>@Utc17211204</v>
      </c>
      <c r="O8">
        <f t="shared" si="9"/>
        <v>2</v>
      </c>
      <c r="P8" t="str">
        <f t="shared" si="10"/>
        <v>TTS-2A</v>
      </c>
      <c r="U8">
        <v>17211208</v>
      </c>
      <c r="V8" t="s">
        <v>384</v>
      </c>
      <c r="W8" t="s">
        <v>64</v>
      </c>
      <c r="X8" t="s">
        <v>5</v>
      </c>
      <c r="Y8" t="s">
        <v>22</v>
      </c>
      <c r="Z8" t="s">
        <v>437</v>
      </c>
      <c r="AA8">
        <v>2</v>
      </c>
      <c r="AB8" t="s">
        <v>432</v>
      </c>
    </row>
    <row r="9" spans="2:28" x14ac:dyDescent="0.25">
      <c r="B9">
        <v>17211208</v>
      </c>
      <c r="D9" t="s">
        <v>358</v>
      </c>
      <c r="E9" t="str">
        <f t="shared" si="0"/>
        <v>JESUS FRANCISCO</v>
      </c>
      <c r="F9" t="str">
        <f t="shared" si="1"/>
        <v>CHAN</v>
      </c>
      <c r="G9" t="str">
        <f t="shared" si="2"/>
        <v>CAAMAL</v>
      </c>
      <c r="I9">
        <f t="shared" si="3"/>
        <v>17211208</v>
      </c>
      <c r="J9" t="str">
        <f t="shared" si="4"/>
        <v>JESUS FRANCISCO</v>
      </c>
      <c r="K9" t="str">
        <f t="shared" si="5"/>
        <v>CHAN</v>
      </c>
      <c r="L9" t="str">
        <f t="shared" si="6"/>
        <v>CAAMAL</v>
      </c>
      <c r="M9" t="str">
        <f t="shared" si="7"/>
        <v>TTS</v>
      </c>
      <c r="N9" t="str">
        <f t="shared" si="8"/>
        <v>@Utc17211208</v>
      </c>
      <c r="O9">
        <f t="shared" si="9"/>
        <v>2</v>
      </c>
      <c r="P9" t="str">
        <f t="shared" si="10"/>
        <v>TTS-2A</v>
      </c>
      <c r="U9">
        <v>17211210</v>
      </c>
      <c r="V9" t="s">
        <v>385</v>
      </c>
      <c r="W9" t="s">
        <v>64</v>
      </c>
      <c r="X9" t="s">
        <v>15</v>
      </c>
      <c r="Y9" t="s">
        <v>22</v>
      </c>
      <c r="Z9" t="s">
        <v>438</v>
      </c>
      <c r="AA9">
        <v>2</v>
      </c>
      <c r="AB9" t="s">
        <v>432</v>
      </c>
    </row>
    <row r="10" spans="2:28" x14ac:dyDescent="0.25">
      <c r="B10">
        <v>17211210</v>
      </c>
      <c r="D10" t="s">
        <v>359</v>
      </c>
      <c r="E10" t="str">
        <f t="shared" si="0"/>
        <v>CRISTIAN DANIEL</v>
      </c>
      <c r="F10" t="str">
        <f t="shared" si="1"/>
        <v>CHAN</v>
      </c>
      <c r="G10" t="str">
        <f t="shared" si="2"/>
        <v>CHI</v>
      </c>
      <c r="I10">
        <f t="shared" si="3"/>
        <v>17211210</v>
      </c>
      <c r="J10" t="str">
        <f t="shared" si="4"/>
        <v>CRISTIAN DANIEL</v>
      </c>
      <c r="K10" t="str">
        <f t="shared" si="5"/>
        <v>CHAN</v>
      </c>
      <c r="L10" t="str">
        <f t="shared" si="6"/>
        <v>CHI</v>
      </c>
      <c r="M10" t="str">
        <f t="shared" si="7"/>
        <v>TTS</v>
      </c>
      <c r="N10" t="str">
        <f t="shared" si="8"/>
        <v>@Utc17211210</v>
      </c>
      <c r="O10">
        <f t="shared" si="9"/>
        <v>2</v>
      </c>
      <c r="P10" t="str">
        <f t="shared" si="10"/>
        <v>TTS-2A</v>
      </c>
      <c r="U10">
        <v>17211212</v>
      </c>
      <c r="V10" t="s">
        <v>386</v>
      </c>
      <c r="W10" t="s">
        <v>403</v>
      </c>
      <c r="X10" t="s">
        <v>413</v>
      </c>
      <c r="Y10" t="s">
        <v>22</v>
      </c>
      <c r="Z10" t="s">
        <v>439</v>
      </c>
      <c r="AA10">
        <v>2</v>
      </c>
      <c r="AB10" t="s">
        <v>432</v>
      </c>
    </row>
    <row r="11" spans="2:28" x14ac:dyDescent="0.25">
      <c r="B11">
        <v>17211212</v>
      </c>
      <c r="D11" t="s">
        <v>360</v>
      </c>
      <c r="E11" t="str">
        <f t="shared" si="0"/>
        <v>MIGUEL ANGEL</v>
      </c>
      <c r="F11" t="str">
        <f t="shared" si="1"/>
        <v>COCOM</v>
      </c>
      <c r="G11" t="str">
        <f t="shared" si="2"/>
        <v>BE</v>
      </c>
      <c r="I11">
        <f t="shared" si="3"/>
        <v>17211212</v>
      </c>
      <c r="J11" t="str">
        <f t="shared" si="4"/>
        <v>MIGUEL ANGEL</v>
      </c>
      <c r="K11" t="str">
        <f t="shared" si="5"/>
        <v>COCOM</v>
      </c>
      <c r="L11" t="str">
        <f t="shared" si="6"/>
        <v>BE</v>
      </c>
      <c r="M11" t="str">
        <f t="shared" si="7"/>
        <v>TTS</v>
      </c>
      <c r="N11" t="str">
        <f t="shared" si="8"/>
        <v>@Utc17211212</v>
      </c>
      <c r="O11">
        <f t="shared" si="9"/>
        <v>2</v>
      </c>
      <c r="P11" t="str">
        <f t="shared" si="10"/>
        <v>TTS-2A</v>
      </c>
      <c r="U11">
        <v>17211214</v>
      </c>
      <c r="V11" t="s">
        <v>387</v>
      </c>
      <c r="W11" t="s">
        <v>12</v>
      </c>
      <c r="X11" t="s">
        <v>414</v>
      </c>
      <c r="Y11" t="s">
        <v>22</v>
      </c>
      <c r="Z11" t="s">
        <v>440</v>
      </c>
      <c r="AA11">
        <v>2</v>
      </c>
      <c r="AB11" t="s">
        <v>432</v>
      </c>
    </row>
    <row r="12" spans="2:28" x14ac:dyDescent="0.25">
      <c r="B12">
        <v>17211214</v>
      </c>
      <c r="D12" t="s">
        <v>361</v>
      </c>
      <c r="E12" t="str">
        <f t="shared" si="0"/>
        <v>ABRIL DE JESUS</v>
      </c>
      <c r="F12" t="str">
        <f t="shared" si="1"/>
        <v>COUOH</v>
      </c>
      <c r="G12" t="str">
        <f t="shared" si="2"/>
        <v>PANTOJA</v>
      </c>
      <c r="I12">
        <f t="shared" si="3"/>
        <v>17211214</v>
      </c>
      <c r="J12" t="str">
        <f t="shared" si="4"/>
        <v>ABRIL DE JESUS</v>
      </c>
      <c r="K12" t="str">
        <f t="shared" si="5"/>
        <v>COUOH</v>
      </c>
      <c r="L12" t="str">
        <f t="shared" si="6"/>
        <v>PANTOJA</v>
      </c>
      <c r="M12" t="str">
        <f t="shared" si="7"/>
        <v>TTS</v>
      </c>
      <c r="N12" t="str">
        <f t="shared" si="8"/>
        <v>@Utc17211214</v>
      </c>
      <c r="O12">
        <f t="shared" si="9"/>
        <v>2</v>
      </c>
      <c r="P12" t="str">
        <f t="shared" si="10"/>
        <v>TTS-2A</v>
      </c>
      <c r="U12">
        <v>17211216</v>
      </c>
      <c r="V12" t="s">
        <v>388</v>
      </c>
      <c r="W12" t="s">
        <v>13</v>
      </c>
      <c r="X12" t="s">
        <v>131</v>
      </c>
      <c r="Y12" t="s">
        <v>22</v>
      </c>
      <c r="Z12" t="s">
        <v>441</v>
      </c>
      <c r="AA12">
        <v>2</v>
      </c>
      <c r="AB12" t="s">
        <v>432</v>
      </c>
    </row>
    <row r="13" spans="2:28" x14ac:dyDescent="0.25">
      <c r="B13">
        <v>17211216</v>
      </c>
      <c r="D13" t="s">
        <v>362</v>
      </c>
      <c r="E13" t="str">
        <f t="shared" si="0"/>
        <v>JORGE DANIEL</v>
      </c>
      <c r="F13" t="str">
        <f t="shared" si="1"/>
        <v>EK</v>
      </c>
      <c r="G13" t="str">
        <f t="shared" si="2"/>
        <v>CAUICH</v>
      </c>
      <c r="I13">
        <f t="shared" si="3"/>
        <v>17211216</v>
      </c>
      <c r="J13" t="str">
        <f t="shared" si="4"/>
        <v>JORGE DANIEL</v>
      </c>
      <c r="K13" t="str">
        <f t="shared" si="5"/>
        <v>EK</v>
      </c>
      <c r="L13" t="str">
        <f t="shared" si="6"/>
        <v>CAUICH</v>
      </c>
      <c r="M13" t="str">
        <f t="shared" si="7"/>
        <v>TTS</v>
      </c>
      <c r="N13" t="str">
        <f t="shared" si="8"/>
        <v>@Utc17211216</v>
      </c>
      <c r="O13">
        <f t="shared" si="9"/>
        <v>2</v>
      </c>
      <c r="P13" t="str">
        <f t="shared" si="10"/>
        <v>TTS-2A</v>
      </c>
      <c r="U13">
        <v>17211218</v>
      </c>
      <c r="V13" t="s">
        <v>389</v>
      </c>
      <c r="W13" t="s">
        <v>404</v>
      </c>
      <c r="X13" t="s">
        <v>14</v>
      </c>
      <c r="Y13" t="s">
        <v>22</v>
      </c>
      <c r="Z13" t="s">
        <v>442</v>
      </c>
      <c r="AA13">
        <v>2</v>
      </c>
      <c r="AB13" t="s">
        <v>432</v>
      </c>
    </row>
    <row r="14" spans="2:28" x14ac:dyDescent="0.25">
      <c r="B14">
        <v>17211218</v>
      </c>
      <c r="D14" t="s">
        <v>363</v>
      </c>
      <c r="E14" t="str">
        <f t="shared" si="0"/>
        <v>CHRISTIAN ENRIQUE</v>
      </c>
      <c r="F14" t="str">
        <f t="shared" si="1"/>
        <v>EUAN</v>
      </c>
      <c r="G14" t="str">
        <f t="shared" si="2"/>
        <v>CARRILLO</v>
      </c>
      <c r="I14">
        <f t="shared" si="3"/>
        <v>17211218</v>
      </c>
      <c r="J14" t="str">
        <f t="shared" si="4"/>
        <v>CHRISTIAN ENRIQUE</v>
      </c>
      <c r="K14" t="str">
        <f t="shared" si="5"/>
        <v>EUAN</v>
      </c>
      <c r="L14" t="str">
        <f t="shared" si="6"/>
        <v>CARRILLO</v>
      </c>
      <c r="M14" t="str">
        <f t="shared" si="7"/>
        <v>TTS</v>
      </c>
      <c r="N14" t="str">
        <f t="shared" si="8"/>
        <v>@Utc17211218</v>
      </c>
      <c r="O14">
        <f t="shared" si="9"/>
        <v>2</v>
      </c>
      <c r="P14" t="str">
        <f t="shared" si="10"/>
        <v>TTS-2A</v>
      </c>
      <c r="U14">
        <v>17211220</v>
      </c>
      <c r="V14" t="s">
        <v>390</v>
      </c>
      <c r="W14" t="s">
        <v>404</v>
      </c>
      <c r="X14" t="s">
        <v>415</v>
      </c>
      <c r="Y14" t="s">
        <v>22</v>
      </c>
      <c r="Z14" t="s">
        <v>443</v>
      </c>
      <c r="AA14">
        <v>2</v>
      </c>
      <c r="AB14" t="s">
        <v>432</v>
      </c>
    </row>
    <row r="15" spans="2:28" x14ac:dyDescent="0.25">
      <c r="B15">
        <v>17211220</v>
      </c>
      <c r="D15" t="s">
        <v>364</v>
      </c>
      <c r="E15" t="str">
        <f t="shared" si="0"/>
        <v>ANGEL ADOLFO</v>
      </c>
      <c r="F15" t="str">
        <f t="shared" si="1"/>
        <v>EUAN</v>
      </c>
      <c r="G15" t="str">
        <f t="shared" si="2"/>
        <v>RAMIREZ</v>
      </c>
      <c r="I15">
        <f t="shared" si="3"/>
        <v>17211220</v>
      </c>
      <c r="J15" t="str">
        <f t="shared" si="4"/>
        <v>ANGEL ADOLFO</v>
      </c>
      <c r="K15" t="str">
        <f t="shared" si="5"/>
        <v>EUAN</v>
      </c>
      <c r="L15" t="str">
        <f t="shared" si="6"/>
        <v>RAMIREZ</v>
      </c>
      <c r="M15" t="str">
        <f t="shared" si="7"/>
        <v>TTS</v>
      </c>
      <c r="N15" t="str">
        <f t="shared" si="8"/>
        <v>@Utc17211220</v>
      </c>
      <c r="O15">
        <f t="shared" si="9"/>
        <v>2</v>
      </c>
      <c r="P15" t="str">
        <f t="shared" si="10"/>
        <v>TTS-2A</v>
      </c>
      <c r="U15">
        <v>17211222</v>
      </c>
      <c r="V15" t="s">
        <v>391</v>
      </c>
      <c r="W15" t="s">
        <v>405</v>
      </c>
      <c r="X15" t="s">
        <v>84</v>
      </c>
      <c r="Y15" t="s">
        <v>22</v>
      </c>
      <c r="Z15" t="s">
        <v>444</v>
      </c>
      <c r="AA15">
        <v>2</v>
      </c>
      <c r="AB15" t="s">
        <v>432</v>
      </c>
    </row>
    <row r="16" spans="2:28" x14ac:dyDescent="0.25">
      <c r="B16">
        <v>17211222</v>
      </c>
      <c r="D16" t="s">
        <v>365</v>
      </c>
      <c r="E16" t="str">
        <f t="shared" si="0"/>
        <v>JOSE ANTONIO</v>
      </c>
      <c r="F16" t="str">
        <f t="shared" si="1"/>
        <v>HAU</v>
      </c>
      <c r="G16" t="str">
        <f t="shared" si="2"/>
        <v>UICAB</v>
      </c>
      <c r="I16">
        <f t="shared" si="3"/>
        <v>17211222</v>
      </c>
      <c r="J16" t="str">
        <f t="shared" si="4"/>
        <v>JOSE ANTONIO</v>
      </c>
      <c r="K16" t="str">
        <f t="shared" si="5"/>
        <v>HAU</v>
      </c>
      <c r="L16" t="str">
        <f t="shared" si="6"/>
        <v>UICAB</v>
      </c>
      <c r="M16" t="str">
        <f t="shared" si="7"/>
        <v>TTS</v>
      </c>
      <c r="N16" t="str">
        <f t="shared" si="8"/>
        <v>@Utc17211222</v>
      </c>
      <c r="O16">
        <f t="shared" si="9"/>
        <v>2</v>
      </c>
      <c r="P16" t="str">
        <f t="shared" si="10"/>
        <v>TTS-2A</v>
      </c>
      <c r="U16">
        <v>17211224</v>
      </c>
      <c r="V16" t="s">
        <v>392</v>
      </c>
      <c r="W16" t="s">
        <v>406</v>
      </c>
      <c r="X16" t="s">
        <v>15</v>
      </c>
      <c r="Y16" t="s">
        <v>22</v>
      </c>
      <c r="Z16" t="s">
        <v>445</v>
      </c>
      <c r="AA16">
        <v>2</v>
      </c>
      <c r="AB16" t="s">
        <v>432</v>
      </c>
    </row>
    <row r="17" spans="2:28" x14ac:dyDescent="0.25">
      <c r="B17">
        <v>17211224</v>
      </c>
      <c r="D17" t="s">
        <v>366</v>
      </c>
      <c r="E17" t="str">
        <f t="shared" si="0"/>
        <v>JORGE ALEJANDRO</v>
      </c>
      <c r="F17" t="str">
        <f t="shared" si="1"/>
        <v>MAAS</v>
      </c>
      <c r="G17" t="str">
        <f t="shared" si="2"/>
        <v>CHI</v>
      </c>
      <c r="I17">
        <f t="shared" si="3"/>
        <v>17211224</v>
      </c>
      <c r="J17" t="str">
        <f t="shared" si="4"/>
        <v>JORGE ALEJANDRO</v>
      </c>
      <c r="K17" t="str">
        <f t="shared" si="5"/>
        <v>MAAS</v>
      </c>
      <c r="L17" t="str">
        <f t="shared" si="6"/>
        <v>CHI</v>
      </c>
      <c r="M17" t="str">
        <f t="shared" si="7"/>
        <v>TTS</v>
      </c>
      <c r="N17" t="str">
        <f t="shared" si="8"/>
        <v>@Utc17211224</v>
      </c>
      <c r="O17">
        <f t="shared" si="9"/>
        <v>2</v>
      </c>
      <c r="P17" t="str">
        <f t="shared" si="10"/>
        <v>TTS-2A</v>
      </c>
      <c r="U17">
        <v>17211226</v>
      </c>
      <c r="V17" t="s">
        <v>393</v>
      </c>
      <c r="W17" t="s">
        <v>55</v>
      </c>
      <c r="X17" t="s">
        <v>416</v>
      </c>
      <c r="Y17" t="s">
        <v>22</v>
      </c>
      <c r="Z17" t="s">
        <v>446</v>
      </c>
      <c r="AA17">
        <v>2</v>
      </c>
      <c r="AB17" t="s">
        <v>432</v>
      </c>
    </row>
    <row r="18" spans="2:28" x14ac:dyDescent="0.25">
      <c r="B18">
        <v>17211226</v>
      </c>
      <c r="D18" t="s">
        <v>367</v>
      </c>
      <c r="E18" t="str">
        <f t="shared" si="0"/>
        <v>SANTOS RICARDO</v>
      </c>
      <c r="F18" t="str">
        <f t="shared" si="1"/>
        <v>MATU</v>
      </c>
      <c r="G18" t="str">
        <f t="shared" si="2"/>
        <v>CHAY</v>
      </c>
      <c r="I18">
        <f t="shared" si="3"/>
        <v>17211226</v>
      </c>
      <c r="J18" t="str">
        <f t="shared" si="4"/>
        <v>SANTOS RICARDO</v>
      </c>
      <c r="K18" t="str">
        <f t="shared" si="5"/>
        <v>MATU</v>
      </c>
      <c r="L18" t="str">
        <f t="shared" si="6"/>
        <v>CHAY</v>
      </c>
      <c r="M18" t="str">
        <f t="shared" si="7"/>
        <v>TTS</v>
      </c>
      <c r="N18" t="str">
        <f t="shared" si="8"/>
        <v>@Utc17211226</v>
      </c>
      <c r="O18">
        <f t="shared" si="9"/>
        <v>2</v>
      </c>
      <c r="P18" t="str">
        <f t="shared" si="10"/>
        <v>TTS-2A</v>
      </c>
      <c r="U18">
        <v>17211228</v>
      </c>
      <c r="V18" t="s">
        <v>394</v>
      </c>
      <c r="W18" t="s">
        <v>11</v>
      </c>
      <c r="X18" t="s">
        <v>417</v>
      </c>
      <c r="Y18" t="s">
        <v>22</v>
      </c>
      <c r="Z18" t="s">
        <v>447</v>
      </c>
      <c r="AA18">
        <v>2</v>
      </c>
      <c r="AB18" t="s">
        <v>432</v>
      </c>
    </row>
    <row r="19" spans="2:28" x14ac:dyDescent="0.25">
      <c r="B19">
        <v>17211228</v>
      </c>
      <c r="D19" t="s">
        <v>368</v>
      </c>
      <c r="E19" t="str">
        <f t="shared" si="0"/>
        <v>JESUS ALEXANDRO</v>
      </c>
      <c r="F19" t="str">
        <f t="shared" si="1"/>
        <v>MAY</v>
      </c>
      <c r="G19" t="str">
        <f t="shared" si="2"/>
        <v>KOYOC</v>
      </c>
      <c r="I19">
        <f t="shared" si="3"/>
        <v>17211228</v>
      </c>
      <c r="J19" t="str">
        <f t="shared" si="4"/>
        <v>JESUS ALEXANDRO</v>
      </c>
      <c r="K19" t="str">
        <f t="shared" si="5"/>
        <v>MAY</v>
      </c>
      <c r="L19" t="str">
        <f t="shared" si="6"/>
        <v>KOYOC</v>
      </c>
      <c r="M19" t="str">
        <f t="shared" si="7"/>
        <v>TTS</v>
      </c>
      <c r="N19" t="str">
        <f t="shared" si="8"/>
        <v>@Utc17211228</v>
      </c>
      <c r="O19">
        <f t="shared" si="9"/>
        <v>2</v>
      </c>
      <c r="P19" t="str">
        <f t="shared" si="10"/>
        <v>TTS-2A</v>
      </c>
      <c r="U19">
        <v>17211230</v>
      </c>
      <c r="V19" t="s">
        <v>395</v>
      </c>
      <c r="W19" t="s">
        <v>11</v>
      </c>
      <c r="X19" t="s">
        <v>418</v>
      </c>
      <c r="Y19" t="s">
        <v>22</v>
      </c>
      <c r="Z19" t="s">
        <v>448</v>
      </c>
      <c r="AA19">
        <v>2</v>
      </c>
      <c r="AB19" t="s">
        <v>432</v>
      </c>
    </row>
    <row r="20" spans="2:28" x14ac:dyDescent="0.25">
      <c r="B20">
        <v>17211230</v>
      </c>
      <c r="D20" t="s">
        <v>369</v>
      </c>
      <c r="E20" t="str">
        <f t="shared" si="0"/>
        <v>SERGIO ARMANDO</v>
      </c>
      <c r="F20" t="str">
        <f t="shared" si="1"/>
        <v>MAY</v>
      </c>
      <c r="G20" t="str">
        <f t="shared" si="2"/>
        <v>KU</v>
      </c>
      <c r="I20">
        <f t="shared" si="3"/>
        <v>17211230</v>
      </c>
      <c r="J20" t="str">
        <f t="shared" si="4"/>
        <v>SERGIO ARMANDO</v>
      </c>
      <c r="K20" t="str">
        <f t="shared" si="5"/>
        <v>MAY</v>
      </c>
      <c r="L20" t="str">
        <f t="shared" si="6"/>
        <v>KU</v>
      </c>
      <c r="M20" t="str">
        <f t="shared" si="7"/>
        <v>TTS</v>
      </c>
      <c r="N20" t="str">
        <f t="shared" si="8"/>
        <v>@Utc17211230</v>
      </c>
      <c r="O20">
        <f t="shared" si="9"/>
        <v>2</v>
      </c>
      <c r="P20" t="str">
        <f t="shared" si="10"/>
        <v>TTS-2A</v>
      </c>
      <c r="U20">
        <v>17211233</v>
      </c>
      <c r="V20" t="s">
        <v>396</v>
      </c>
      <c r="W20" t="s">
        <v>407</v>
      </c>
      <c r="X20" t="s">
        <v>419</v>
      </c>
      <c r="Y20" t="s">
        <v>22</v>
      </c>
      <c r="Z20" t="s">
        <v>449</v>
      </c>
      <c r="AA20">
        <v>2</v>
      </c>
      <c r="AB20" t="s">
        <v>432</v>
      </c>
    </row>
    <row r="21" spans="2:28" x14ac:dyDescent="0.25">
      <c r="B21">
        <v>17211233</v>
      </c>
      <c r="D21" t="s">
        <v>370</v>
      </c>
      <c r="E21" t="str">
        <f t="shared" si="0"/>
        <v>JESUS ERNESTO</v>
      </c>
      <c r="F21" t="str">
        <f t="shared" si="1"/>
        <v>MORENO</v>
      </c>
      <c r="G21" t="str">
        <f t="shared" si="2"/>
        <v>VILLEGAS</v>
      </c>
      <c r="I21">
        <f t="shared" si="3"/>
        <v>17211233</v>
      </c>
      <c r="J21" t="str">
        <f t="shared" si="4"/>
        <v>JESUS ERNESTO</v>
      </c>
      <c r="K21" t="str">
        <f t="shared" si="5"/>
        <v>MORENO</v>
      </c>
      <c r="L21" t="str">
        <f t="shared" si="6"/>
        <v>VILLEGAS</v>
      </c>
      <c r="M21" t="str">
        <f t="shared" si="7"/>
        <v>TTS</v>
      </c>
      <c r="N21" t="str">
        <f t="shared" si="8"/>
        <v>@Utc17211233</v>
      </c>
      <c r="O21">
        <f t="shared" si="9"/>
        <v>2</v>
      </c>
      <c r="P21" t="str">
        <f t="shared" si="10"/>
        <v>TTS-2A</v>
      </c>
      <c r="U21">
        <v>17211235</v>
      </c>
      <c r="V21" t="s">
        <v>397</v>
      </c>
      <c r="W21" t="s">
        <v>408</v>
      </c>
      <c r="X21" t="s">
        <v>77</v>
      </c>
      <c r="Y21" t="s">
        <v>22</v>
      </c>
      <c r="Z21" t="s">
        <v>450</v>
      </c>
      <c r="AA21">
        <v>2</v>
      </c>
      <c r="AB21" t="s">
        <v>432</v>
      </c>
    </row>
    <row r="22" spans="2:28" x14ac:dyDescent="0.25">
      <c r="B22">
        <v>17211235</v>
      </c>
      <c r="D22" t="s">
        <v>371</v>
      </c>
      <c r="E22" t="str">
        <f t="shared" si="0"/>
        <v>JAIR DESAILLY</v>
      </c>
      <c r="F22" t="str">
        <f t="shared" si="1"/>
        <v>PACHECO</v>
      </c>
      <c r="G22" t="str">
        <f t="shared" si="2"/>
        <v>PEREZ</v>
      </c>
      <c r="I22">
        <f t="shared" si="3"/>
        <v>17211235</v>
      </c>
      <c r="J22" t="str">
        <f t="shared" si="4"/>
        <v>JAIR DESAILLY</v>
      </c>
      <c r="K22" t="str">
        <f t="shared" si="5"/>
        <v>PACHECO</v>
      </c>
      <c r="L22" t="str">
        <f t="shared" si="6"/>
        <v>PEREZ</v>
      </c>
      <c r="M22" t="str">
        <f t="shared" si="7"/>
        <v>TTS</v>
      </c>
      <c r="N22" t="str">
        <f t="shared" si="8"/>
        <v>@Utc17211235</v>
      </c>
      <c r="O22">
        <f t="shared" si="9"/>
        <v>2</v>
      </c>
      <c r="P22" t="str">
        <f t="shared" si="10"/>
        <v>TTS-2A</v>
      </c>
      <c r="U22">
        <v>17211237</v>
      </c>
      <c r="V22" t="s">
        <v>398</v>
      </c>
      <c r="W22" t="s">
        <v>409</v>
      </c>
      <c r="X22" t="s">
        <v>102</v>
      </c>
      <c r="Y22" t="s">
        <v>22</v>
      </c>
      <c r="Z22" t="s">
        <v>451</v>
      </c>
      <c r="AA22">
        <v>2</v>
      </c>
      <c r="AB22" t="s">
        <v>432</v>
      </c>
    </row>
    <row r="23" spans="2:28" x14ac:dyDescent="0.25">
      <c r="B23">
        <v>17211237</v>
      </c>
      <c r="D23" t="s">
        <v>372</v>
      </c>
      <c r="E23" t="str">
        <f t="shared" si="0"/>
        <v>BRANDO EMMANUEL</v>
      </c>
      <c r="F23" t="str">
        <f t="shared" si="1"/>
        <v>PINZON</v>
      </c>
      <c r="G23" t="str">
        <f t="shared" si="2"/>
        <v>OXTE</v>
      </c>
      <c r="I23">
        <f t="shared" si="3"/>
        <v>17211237</v>
      </c>
      <c r="J23" t="str">
        <f t="shared" si="4"/>
        <v>BRANDO EMMANUEL</v>
      </c>
      <c r="K23" t="str">
        <f t="shared" si="5"/>
        <v>PINZON</v>
      </c>
      <c r="L23" t="str">
        <f t="shared" si="6"/>
        <v>OXTE</v>
      </c>
      <c r="M23" t="str">
        <f t="shared" si="7"/>
        <v>TTS</v>
      </c>
      <c r="N23" t="str">
        <f t="shared" si="8"/>
        <v>@Utc17211237</v>
      </c>
      <c r="O23">
        <f t="shared" si="9"/>
        <v>2</v>
      </c>
      <c r="P23" t="str">
        <f t="shared" si="10"/>
        <v>TTS-2A</v>
      </c>
      <c r="U23">
        <v>17211239</v>
      </c>
      <c r="V23" t="s">
        <v>399</v>
      </c>
      <c r="W23" t="s">
        <v>410</v>
      </c>
      <c r="X23" t="s">
        <v>420</v>
      </c>
      <c r="Y23" t="s">
        <v>22</v>
      </c>
      <c r="Z23" t="s">
        <v>452</v>
      </c>
      <c r="AA23">
        <v>2</v>
      </c>
      <c r="AB23" t="s">
        <v>432</v>
      </c>
    </row>
    <row r="24" spans="2:28" x14ac:dyDescent="0.25">
      <c r="B24">
        <v>17211239</v>
      </c>
      <c r="D24" t="s">
        <v>373</v>
      </c>
      <c r="E24" t="str">
        <f t="shared" si="0"/>
        <v>MAURICIO EDUARDO</v>
      </c>
      <c r="F24" t="str">
        <f t="shared" si="1"/>
        <v>PUERTO</v>
      </c>
      <c r="G24" t="str">
        <f t="shared" si="2"/>
        <v>CARO</v>
      </c>
      <c r="I24">
        <f t="shared" si="3"/>
        <v>17211239</v>
      </c>
      <c r="J24" t="str">
        <f t="shared" si="4"/>
        <v>MAURICIO EDUARDO</v>
      </c>
      <c r="K24" t="str">
        <f t="shared" si="5"/>
        <v>PUERTO</v>
      </c>
      <c r="L24" t="str">
        <f t="shared" si="6"/>
        <v>CARO</v>
      </c>
      <c r="M24" t="str">
        <f t="shared" si="7"/>
        <v>TTS</v>
      </c>
      <c r="N24" t="str">
        <f t="shared" si="8"/>
        <v>@Utc17211239</v>
      </c>
      <c r="O24">
        <f t="shared" si="9"/>
        <v>2</v>
      </c>
      <c r="P24" t="str">
        <f t="shared" si="10"/>
        <v>TTS-2A</v>
      </c>
      <c r="U24">
        <v>17211241</v>
      </c>
      <c r="V24" t="s">
        <v>400</v>
      </c>
      <c r="W24" t="s">
        <v>20</v>
      </c>
      <c r="X24" t="s">
        <v>421</v>
      </c>
      <c r="Y24" t="s">
        <v>22</v>
      </c>
      <c r="Z24" t="s">
        <v>453</v>
      </c>
      <c r="AA24">
        <v>2</v>
      </c>
      <c r="AB24" t="s">
        <v>432</v>
      </c>
    </row>
    <row r="25" spans="2:28" x14ac:dyDescent="0.25">
      <c r="B25">
        <v>17211241</v>
      </c>
      <c r="D25" t="s">
        <v>374</v>
      </c>
      <c r="E25" t="str">
        <f t="shared" si="0"/>
        <v>MICHEL ESMERALDA</v>
      </c>
      <c r="F25" t="str">
        <f t="shared" si="1"/>
        <v>RUIZ</v>
      </c>
      <c r="G25" t="str">
        <f t="shared" si="2"/>
        <v>POOT</v>
      </c>
      <c r="I25">
        <f t="shared" si="3"/>
        <v>17211241</v>
      </c>
      <c r="J25" t="str">
        <f t="shared" si="4"/>
        <v>MICHEL ESMERALDA</v>
      </c>
      <c r="K25" t="str">
        <f t="shared" si="5"/>
        <v>RUIZ</v>
      </c>
      <c r="L25" t="str">
        <f t="shared" si="6"/>
        <v>POOT</v>
      </c>
      <c r="M25" t="str">
        <f t="shared" si="7"/>
        <v>TTS</v>
      </c>
      <c r="N25" t="str">
        <f t="shared" si="8"/>
        <v>@Utc17211241</v>
      </c>
      <c r="O25">
        <f t="shared" si="9"/>
        <v>2</v>
      </c>
      <c r="P25" t="str">
        <f t="shared" si="10"/>
        <v>TTS-2A</v>
      </c>
      <c r="U25">
        <v>17211243</v>
      </c>
      <c r="V25" t="s">
        <v>401</v>
      </c>
      <c r="W25" t="s">
        <v>78</v>
      </c>
      <c r="X25" t="s">
        <v>21</v>
      </c>
      <c r="Y25" t="s">
        <v>22</v>
      </c>
      <c r="Z25" t="s">
        <v>454</v>
      </c>
      <c r="AA25">
        <v>2</v>
      </c>
      <c r="AB25" t="s">
        <v>432</v>
      </c>
    </row>
    <row r="26" spans="2:28" x14ac:dyDescent="0.25">
      <c r="B26">
        <v>17211243</v>
      </c>
      <c r="D26" t="s">
        <v>375</v>
      </c>
      <c r="E26" t="str">
        <f t="shared" si="0"/>
        <v>LUIS FERNANDO</v>
      </c>
      <c r="F26" t="str">
        <f t="shared" si="1"/>
        <v>SANCHEZ</v>
      </c>
      <c r="G26" t="str">
        <f t="shared" si="2"/>
        <v>TUN</v>
      </c>
      <c r="I26">
        <f t="shared" si="3"/>
        <v>17211243</v>
      </c>
      <c r="J26" t="str">
        <f t="shared" si="4"/>
        <v>LUIS FERNANDO</v>
      </c>
      <c r="K26" t="str">
        <f t="shared" si="5"/>
        <v>SANCHEZ</v>
      </c>
      <c r="L26" t="str">
        <f t="shared" si="6"/>
        <v>TUN</v>
      </c>
      <c r="M26" t="str">
        <f t="shared" si="7"/>
        <v>TTS</v>
      </c>
      <c r="N26" t="str">
        <f t="shared" si="8"/>
        <v>@Utc17211243</v>
      </c>
      <c r="O26">
        <f t="shared" si="9"/>
        <v>2</v>
      </c>
      <c r="P26" t="str">
        <f t="shared" si="10"/>
        <v>TTS-2A</v>
      </c>
      <c r="U26">
        <v>17211245</v>
      </c>
      <c r="V26" t="s">
        <v>455</v>
      </c>
      <c r="W26" t="s">
        <v>101</v>
      </c>
      <c r="X26" t="s">
        <v>5</v>
      </c>
      <c r="Y26" t="s">
        <v>22</v>
      </c>
      <c r="Z26" t="s">
        <v>456</v>
      </c>
      <c r="AA26">
        <v>2</v>
      </c>
      <c r="AB26" t="s">
        <v>432</v>
      </c>
    </row>
    <row r="27" spans="2:28" x14ac:dyDescent="0.25">
      <c r="B27">
        <v>17211245</v>
      </c>
      <c r="D27" t="s">
        <v>376</v>
      </c>
      <c r="E27" t="str">
        <f t="shared" si="0"/>
        <v>ERICK LIZANDRO</v>
      </c>
      <c r="F27" t="str">
        <f t="shared" si="1"/>
        <v>UC</v>
      </c>
      <c r="G27" t="str">
        <f t="shared" si="2"/>
        <v>CAAMAL</v>
      </c>
      <c r="I27">
        <f t="shared" si="3"/>
        <v>17211245</v>
      </c>
      <c r="J27" t="str">
        <f t="shared" si="4"/>
        <v>ERICK LIZANDRO</v>
      </c>
      <c r="K27" t="str">
        <f t="shared" si="5"/>
        <v>UC</v>
      </c>
      <c r="L27" t="str">
        <f t="shared" si="6"/>
        <v>CAAMAL</v>
      </c>
      <c r="M27" t="str">
        <f t="shared" si="7"/>
        <v>TTS</v>
      </c>
      <c r="N27" t="str">
        <f t="shared" si="8"/>
        <v>@Utc17211245</v>
      </c>
      <c r="O27">
        <f t="shared" si="9"/>
        <v>2</v>
      </c>
      <c r="P27" t="str">
        <f t="shared" si="10"/>
        <v>TTS-2A</v>
      </c>
      <c r="U27">
        <v>17211247</v>
      </c>
      <c r="V27" t="s">
        <v>457</v>
      </c>
      <c r="W27" t="s">
        <v>458</v>
      </c>
      <c r="X27" t="s">
        <v>7</v>
      </c>
      <c r="Y27" t="s">
        <v>22</v>
      </c>
      <c r="Z27" t="s">
        <v>459</v>
      </c>
      <c r="AA27">
        <v>2</v>
      </c>
      <c r="AB27" t="s">
        <v>432</v>
      </c>
    </row>
    <row r="28" spans="2:28" x14ac:dyDescent="0.25">
      <c r="B28">
        <v>17211247</v>
      </c>
      <c r="D28" t="s">
        <v>377</v>
      </c>
      <c r="E28" t="str">
        <f t="shared" si="0"/>
        <v>ABIGAIL DE LA CRUZ</v>
      </c>
      <c r="F28" t="str">
        <f t="shared" si="1"/>
        <v>VALLADARES</v>
      </c>
      <c r="G28" t="str">
        <f t="shared" si="2"/>
        <v>CANCHE</v>
      </c>
      <c r="I28">
        <f t="shared" si="3"/>
        <v>17211247</v>
      </c>
      <c r="J28" t="str">
        <f t="shared" si="4"/>
        <v>ABIGAIL DE LA CRUZ</v>
      </c>
      <c r="K28" t="str">
        <f t="shared" si="5"/>
        <v>VALLADARES</v>
      </c>
      <c r="L28" t="str">
        <f t="shared" si="6"/>
        <v>CANCHE</v>
      </c>
      <c r="M28" t="str">
        <f t="shared" si="7"/>
        <v>TTS</v>
      </c>
      <c r="N28" t="str">
        <f t="shared" si="8"/>
        <v>@Utc17211247</v>
      </c>
      <c r="O28">
        <f t="shared" si="9"/>
        <v>2</v>
      </c>
      <c r="P28" t="str">
        <f t="shared" si="10"/>
        <v>TTS-2A</v>
      </c>
      <c r="U28">
        <v>17211249</v>
      </c>
      <c r="V28" t="s">
        <v>460</v>
      </c>
      <c r="W28" t="s">
        <v>461</v>
      </c>
      <c r="X28" t="s">
        <v>462</v>
      </c>
      <c r="Y28" t="s">
        <v>22</v>
      </c>
      <c r="Z28" t="s">
        <v>463</v>
      </c>
      <c r="AA28">
        <v>2</v>
      </c>
      <c r="AB28" t="s">
        <v>432</v>
      </c>
    </row>
    <row r="29" spans="2:28" x14ac:dyDescent="0.25">
      <c r="B29">
        <v>17211249</v>
      </c>
      <c r="D29" t="s">
        <v>378</v>
      </c>
      <c r="E29" t="str">
        <f t="shared" si="0"/>
        <v>RENE ENRIQUE</v>
      </c>
      <c r="F29" t="str">
        <f t="shared" si="1"/>
        <v>VERDE</v>
      </c>
      <c r="G29" t="str">
        <f t="shared" si="2"/>
        <v>VEGA</v>
      </c>
      <c r="I29">
        <f t="shared" si="3"/>
        <v>17211249</v>
      </c>
      <c r="J29" t="str">
        <f t="shared" si="4"/>
        <v>RENE ENRIQUE</v>
      </c>
      <c r="K29" t="str">
        <f t="shared" si="5"/>
        <v>VERDE</v>
      </c>
      <c r="L29" t="str">
        <f t="shared" si="6"/>
        <v>VEGA</v>
      </c>
      <c r="M29" t="str">
        <f t="shared" si="7"/>
        <v>TTS</v>
      </c>
      <c r="N29" t="str">
        <f t="shared" si="8"/>
        <v>@Utc17211249</v>
      </c>
      <c r="O29">
        <f t="shared" si="9"/>
        <v>2</v>
      </c>
      <c r="P29" t="str">
        <f t="shared" si="10"/>
        <v>TTS-2A</v>
      </c>
    </row>
    <row r="30" spans="2:28" x14ac:dyDescent="0.25">
      <c r="I30">
        <f t="shared" si="3"/>
        <v>0</v>
      </c>
      <c r="J30">
        <f t="shared" si="4"/>
        <v>0</v>
      </c>
      <c r="K30">
        <f t="shared" si="5"/>
        <v>0</v>
      </c>
      <c r="L30">
        <f t="shared" si="6"/>
        <v>0</v>
      </c>
      <c r="M30" t="str">
        <f t="shared" si="7"/>
        <v>TTS</v>
      </c>
    </row>
    <row r="31" spans="2:28" x14ac:dyDescent="0.25">
      <c r="I31">
        <f t="shared" si="3"/>
        <v>0</v>
      </c>
      <c r="J31">
        <f t="shared" si="4"/>
        <v>0</v>
      </c>
      <c r="K31">
        <f t="shared" si="5"/>
        <v>0</v>
      </c>
      <c r="L31">
        <f t="shared" si="6"/>
        <v>0</v>
      </c>
      <c r="M31" t="str">
        <f t="shared" si="7"/>
        <v>TTS</v>
      </c>
    </row>
    <row r="32" spans="2:28" x14ac:dyDescent="0.25">
      <c r="I32">
        <f t="shared" si="3"/>
        <v>0</v>
      </c>
      <c r="J32">
        <f t="shared" si="4"/>
        <v>0</v>
      </c>
      <c r="K32">
        <f t="shared" si="5"/>
        <v>0</v>
      </c>
      <c r="L32">
        <f t="shared" si="6"/>
        <v>0</v>
      </c>
      <c r="M32" t="str">
        <f t="shared" si="7"/>
        <v>TTS</v>
      </c>
    </row>
    <row r="33" spans="6:13" x14ac:dyDescent="0.25">
      <c r="I33">
        <f t="shared" si="3"/>
        <v>0</v>
      </c>
      <c r="J33">
        <f t="shared" si="4"/>
        <v>0</v>
      </c>
      <c r="K33">
        <f t="shared" si="5"/>
        <v>0</v>
      </c>
      <c r="L33">
        <f t="shared" si="6"/>
        <v>0</v>
      </c>
      <c r="M33" t="str">
        <f t="shared" si="7"/>
        <v>TTS</v>
      </c>
    </row>
    <row r="34" spans="6:13" x14ac:dyDescent="0.25">
      <c r="F34" t="str">
        <f t="shared" ref="F34:F49" si="11">ApePat(D34)</f>
        <v/>
      </c>
      <c r="I34">
        <f t="shared" si="3"/>
        <v>0</v>
      </c>
      <c r="J34">
        <f t="shared" si="4"/>
        <v>0</v>
      </c>
      <c r="K34" t="str">
        <f t="shared" si="5"/>
        <v/>
      </c>
      <c r="L34">
        <f t="shared" si="6"/>
        <v>0</v>
      </c>
    </row>
    <row r="35" spans="6:13" x14ac:dyDescent="0.25">
      <c r="F35" t="str">
        <f t="shared" si="11"/>
        <v/>
      </c>
      <c r="I35">
        <f t="shared" si="3"/>
        <v>0</v>
      </c>
      <c r="J35">
        <f t="shared" si="4"/>
        <v>0</v>
      </c>
      <c r="K35" t="str">
        <f t="shared" si="5"/>
        <v/>
      </c>
      <c r="L35">
        <f t="shared" si="6"/>
        <v>0</v>
      </c>
    </row>
    <row r="36" spans="6:13" x14ac:dyDescent="0.25">
      <c r="F36" t="str">
        <f t="shared" si="11"/>
        <v/>
      </c>
    </row>
    <row r="37" spans="6:13" x14ac:dyDescent="0.25">
      <c r="F37" t="str">
        <f t="shared" si="11"/>
        <v/>
      </c>
    </row>
    <row r="38" spans="6:13" x14ac:dyDescent="0.25">
      <c r="F38" t="str">
        <f t="shared" si="11"/>
        <v/>
      </c>
    </row>
    <row r="39" spans="6:13" x14ac:dyDescent="0.25">
      <c r="F39" t="str">
        <f t="shared" si="11"/>
        <v/>
      </c>
    </row>
    <row r="40" spans="6:13" x14ac:dyDescent="0.25">
      <c r="F40" t="str">
        <f t="shared" si="11"/>
        <v/>
      </c>
    </row>
    <row r="41" spans="6:13" x14ac:dyDescent="0.25">
      <c r="F41" t="str">
        <f t="shared" si="11"/>
        <v/>
      </c>
    </row>
    <row r="42" spans="6:13" x14ac:dyDescent="0.25">
      <c r="F42" t="str">
        <f t="shared" si="11"/>
        <v/>
      </c>
    </row>
    <row r="43" spans="6:13" x14ac:dyDescent="0.25">
      <c r="F43" t="str">
        <f t="shared" si="11"/>
        <v/>
      </c>
    </row>
    <row r="44" spans="6:13" x14ac:dyDescent="0.25">
      <c r="F44" t="str">
        <f t="shared" si="11"/>
        <v/>
      </c>
    </row>
    <row r="45" spans="6:13" x14ac:dyDescent="0.25">
      <c r="F45" t="str">
        <f t="shared" si="11"/>
        <v/>
      </c>
    </row>
    <row r="46" spans="6:13" x14ac:dyDescent="0.25">
      <c r="F46" t="str">
        <f t="shared" si="11"/>
        <v/>
      </c>
    </row>
    <row r="47" spans="6:13" x14ac:dyDescent="0.25">
      <c r="F47" t="str">
        <f t="shared" si="11"/>
        <v/>
      </c>
    </row>
    <row r="48" spans="6:13" x14ac:dyDescent="0.25">
      <c r="F48" t="str">
        <f t="shared" si="11"/>
        <v/>
      </c>
    </row>
    <row r="49" spans="6:6" x14ac:dyDescent="0.25">
      <c r="F49" t="str">
        <f t="shared" si="11"/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2:N27"/>
  <sheetViews>
    <sheetView topLeftCell="C1" workbookViewId="0">
      <selection activeCell="E3" sqref="E3"/>
    </sheetView>
  </sheetViews>
  <sheetFormatPr baseColWidth="10" defaultRowHeight="15" x14ac:dyDescent="0.25"/>
  <cols>
    <col min="2" max="2" width="37.7109375" customWidth="1"/>
    <col min="3" max="3" width="12.28515625" customWidth="1"/>
    <col min="4" max="4" width="33" customWidth="1"/>
    <col min="11" max="11" width="21.85546875" customWidth="1"/>
  </cols>
  <sheetData>
    <row r="2" spans="1:14" x14ac:dyDescent="0.25">
      <c r="B2" t="s">
        <v>1</v>
      </c>
      <c r="C2" t="s">
        <v>0</v>
      </c>
      <c r="D2" t="s">
        <v>2</v>
      </c>
      <c r="E2" t="s">
        <v>34</v>
      </c>
      <c r="F2" t="s">
        <v>4</v>
      </c>
      <c r="G2" t="s">
        <v>35</v>
      </c>
    </row>
    <row r="3" spans="1:14" x14ac:dyDescent="0.25">
      <c r="B3" t="s">
        <v>37</v>
      </c>
      <c r="C3">
        <v>15320939</v>
      </c>
      <c r="D3" t="str">
        <f>ExtraeNom(B3)</f>
        <v>LIZBETH LIZANDRA</v>
      </c>
      <c r="E3" t="str">
        <f>ApePat(B3)</f>
        <v>ADRIAN</v>
      </c>
      <c r="F3" t="str">
        <f>ApeMat(B3)</f>
        <v>MATU</v>
      </c>
      <c r="G3" t="s">
        <v>36</v>
      </c>
      <c r="I3">
        <v>15320939</v>
      </c>
      <c r="J3" t="s">
        <v>36</v>
      </c>
      <c r="K3" t="s">
        <v>53</v>
      </c>
      <c r="L3" t="s">
        <v>54</v>
      </c>
      <c r="M3" t="s">
        <v>55</v>
      </c>
      <c r="N3" t="s">
        <v>36</v>
      </c>
    </row>
    <row r="4" spans="1:14" x14ac:dyDescent="0.25">
      <c r="B4" t="s">
        <v>23</v>
      </c>
      <c r="C4">
        <v>15320854</v>
      </c>
      <c r="D4" t="str">
        <f t="shared" ref="D4:D14" si="0">ExtraeNom(B4)</f>
        <v>JOSE MIGUEL  </v>
      </c>
      <c r="E4" t="str">
        <f t="shared" ref="E4:E14" si="1">ApePat(B4)</f>
        <v>ALCALA</v>
      </c>
      <c r="F4" t="str">
        <f t="shared" ref="F4:F14" si="2">ApeMat(B4)</f>
        <v>CASANOVA</v>
      </c>
      <c r="G4" t="s">
        <v>36</v>
      </c>
      <c r="I4">
        <v>15320854</v>
      </c>
      <c r="J4" t="s">
        <v>36</v>
      </c>
      <c r="K4" t="s">
        <v>56</v>
      </c>
      <c r="L4" t="s">
        <v>57</v>
      </c>
      <c r="M4" t="s">
        <v>8</v>
      </c>
      <c r="N4" t="s">
        <v>36</v>
      </c>
    </row>
    <row r="5" spans="1:14" x14ac:dyDescent="0.25">
      <c r="B5" t="s">
        <v>24</v>
      </c>
      <c r="C5">
        <v>15320938</v>
      </c>
      <c r="D5" t="str">
        <f t="shared" si="0"/>
        <v>DAVID ALONSO</v>
      </c>
      <c r="E5" t="str">
        <f t="shared" si="1"/>
        <v>ANGUAS</v>
      </c>
      <c r="F5" t="str">
        <f t="shared" si="2"/>
        <v>LIZARRAGA</v>
      </c>
      <c r="G5" t="s">
        <v>36</v>
      </c>
      <c r="I5">
        <v>15320938</v>
      </c>
      <c r="J5" t="s">
        <v>36</v>
      </c>
      <c r="K5" t="s">
        <v>58</v>
      </c>
      <c r="L5" t="s">
        <v>59</v>
      </c>
      <c r="M5" t="s">
        <v>60</v>
      </c>
      <c r="N5" t="s">
        <v>36</v>
      </c>
    </row>
    <row r="6" spans="1:14" x14ac:dyDescent="0.25">
      <c r="B6" t="s">
        <v>25</v>
      </c>
      <c r="C6">
        <v>15320876</v>
      </c>
      <c r="D6" t="str">
        <f t="shared" si="0"/>
        <v>LUIS ENRIQUE</v>
      </c>
      <c r="E6" t="str">
        <f t="shared" si="1"/>
        <v>CANCHE</v>
      </c>
      <c r="F6" t="str">
        <f t="shared" si="2"/>
        <v>CHULIM</v>
      </c>
      <c r="G6" t="s">
        <v>36</v>
      </c>
      <c r="I6">
        <v>15320876</v>
      </c>
      <c r="J6" t="s">
        <v>36</v>
      </c>
      <c r="K6" t="s">
        <v>61</v>
      </c>
      <c r="L6" t="s">
        <v>7</v>
      </c>
      <c r="M6" t="s">
        <v>62</v>
      </c>
      <c r="N6" t="s">
        <v>36</v>
      </c>
    </row>
    <row r="7" spans="1:14" x14ac:dyDescent="0.25">
      <c r="B7" t="s">
        <v>26</v>
      </c>
      <c r="C7">
        <v>15320867</v>
      </c>
      <c r="D7" t="str">
        <f t="shared" si="0"/>
        <v>ENRIQUE ALEJANDRO</v>
      </c>
      <c r="E7" t="str">
        <f t="shared" si="1"/>
        <v>CANUL</v>
      </c>
      <c r="F7" t="str">
        <f t="shared" si="2"/>
        <v>CHAN</v>
      </c>
      <c r="G7" t="s">
        <v>36</v>
      </c>
      <c r="I7">
        <v>15320867</v>
      </c>
      <c r="J7" t="s">
        <v>36</v>
      </c>
      <c r="K7" t="s">
        <v>63</v>
      </c>
      <c r="L7" t="s">
        <v>10</v>
      </c>
      <c r="M7" t="s">
        <v>64</v>
      </c>
      <c r="N7" t="s">
        <v>36</v>
      </c>
    </row>
    <row r="8" spans="1:14" x14ac:dyDescent="0.25">
      <c r="B8" t="s">
        <v>27</v>
      </c>
      <c r="C8">
        <v>15320872</v>
      </c>
      <c r="D8" t="str">
        <f t="shared" si="0"/>
        <v>YAZURI MARISOL</v>
      </c>
      <c r="E8" t="str">
        <f t="shared" si="1"/>
        <v>CHAN</v>
      </c>
      <c r="F8" t="str">
        <f t="shared" si="2"/>
        <v>BORGES</v>
      </c>
      <c r="G8" t="s">
        <v>36</v>
      </c>
      <c r="I8">
        <v>15320872</v>
      </c>
      <c r="J8" t="s">
        <v>36</v>
      </c>
      <c r="K8" t="s">
        <v>65</v>
      </c>
      <c r="L8" t="s">
        <v>64</v>
      </c>
      <c r="M8" t="s">
        <v>66</v>
      </c>
      <c r="N8" t="s">
        <v>36</v>
      </c>
    </row>
    <row r="9" spans="1:14" x14ac:dyDescent="0.25">
      <c r="B9" t="s">
        <v>28</v>
      </c>
      <c r="C9">
        <v>15320868</v>
      </c>
      <c r="D9" t="str">
        <f t="shared" si="0"/>
        <v>YULEISY ALEJANDRA</v>
      </c>
      <c r="E9" t="str">
        <f t="shared" si="1"/>
        <v>CHAN</v>
      </c>
      <c r="F9" t="str">
        <f t="shared" si="2"/>
        <v>MOO</v>
      </c>
      <c r="G9" t="s">
        <v>36</v>
      </c>
      <c r="I9">
        <v>15320868</v>
      </c>
      <c r="J9" t="s">
        <v>36</v>
      </c>
      <c r="K9" t="s">
        <v>67</v>
      </c>
      <c r="L9" t="s">
        <v>64</v>
      </c>
      <c r="M9" t="s">
        <v>68</v>
      </c>
      <c r="N9" t="s">
        <v>36</v>
      </c>
    </row>
    <row r="10" spans="1:14" x14ac:dyDescent="0.25">
      <c r="B10" t="s">
        <v>29</v>
      </c>
      <c r="C10">
        <v>15320879</v>
      </c>
      <c r="D10" t="str">
        <f t="shared" si="0"/>
        <v>MANUEL RICARDO</v>
      </c>
      <c r="E10" t="str">
        <f t="shared" si="1"/>
        <v>CHIN</v>
      </c>
      <c r="F10" t="str">
        <f t="shared" si="2"/>
        <v>POOL</v>
      </c>
      <c r="G10" t="s">
        <v>36</v>
      </c>
      <c r="I10">
        <v>15320879</v>
      </c>
      <c r="J10" t="s">
        <v>36</v>
      </c>
      <c r="K10" t="s">
        <v>69</v>
      </c>
      <c r="L10" t="s">
        <v>70</v>
      </c>
      <c r="M10" t="s">
        <v>17</v>
      </c>
      <c r="N10" t="s">
        <v>36</v>
      </c>
    </row>
    <row r="11" spans="1:14" x14ac:dyDescent="0.25">
      <c r="B11" t="s">
        <v>30</v>
      </c>
      <c r="C11">
        <v>15320870</v>
      </c>
      <c r="D11" t="str">
        <f t="shared" si="0"/>
        <v>KEILA YASUMI</v>
      </c>
      <c r="E11" t="str">
        <f t="shared" si="1"/>
        <v>DZUL</v>
      </c>
      <c r="F11" t="str">
        <f t="shared" si="2"/>
        <v>CHAN</v>
      </c>
      <c r="G11" t="s">
        <v>36</v>
      </c>
      <c r="I11">
        <v>15320870</v>
      </c>
      <c r="J11" t="s">
        <v>36</v>
      </c>
      <c r="K11" t="s">
        <v>71</v>
      </c>
      <c r="L11" t="s">
        <v>72</v>
      </c>
      <c r="M11" t="s">
        <v>64</v>
      </c>
      <c r="N11" t="s">
        <v>36</v>
      </c>
    </row>
    <row r="12" spans="1:14" x14ac:dyDescent="0.25">
      <c r="B12" t="s">
        <v>31</v>
      </c>
      <c r="C12">
        <v>15320877</v>
      </c>
      <c r="D12" t="str">
        <f t="shared" si="0"/>
        <v>OSCAR FRANCISCO</v>
      </c>
      <c r="E12" t="str">
        <f t="shared" si="1"/>
        <v>DZUL</v>
      </c>
      <c r="F12" t="str">
        <f t="shared" si="2"/>
        <v>TUZ</v>
      </c>
      <c r="G12" t="s">
        <v>36</v>
      </c>
      <c r="I12">
        <v>15320877</v>
      </c>
      <c r="J12" t="s">
        <v>36</v>
      </c>
      <c r="K12" t="s">
        <v>73</v>
      </c>
      <c r="L12" t="s">
        <v>72</v>
      </c>
      <c r="M12" t="s">
        <v>74</v>
      </c>
      <c r="N12" t="s">
        <v>36</v>
      </c>
    </row>
    <row r="13" spans="1:14" x14ac:dyDescent="0.25">
      <c r="B13" t="s">
        <v>32</v>
      </c>
      <c r="C13">
        <v>15320857</v>
      </c>
      <c r="D13" t="str">
        <f t="shared" si="0"/>
        <v>LUIS ENRIQUE</v>
      </c>
      <c r="E13" t="str">
        <f t="shared" si="1"/>
        <v>NUÑEZ</v>
      </c>
      <c r="F13" t="str">
        <f t="shared" si="2"/>
        <v>RUIZ</v>
      </c>
      <c r="G13" t="s">
        <v>36</v>
      </c>
      <c r="I13">
        <v>15320857</v>
      </c>
      <c r="J13" t="s">
        <v>36</v>
      </c>
      <c r="K13" t="s">
        <v>61</v>
      </c>
      <c r="L13" t="s">
        <v>75</v>
      </c>
      <c r="M13" t="s">
        <v>20</v>
      </c>
      <c r="N13" t="s">
        <v>36</v>
      </c>
    </row>
    <row r="14" spans="1:14" x14ac:dyDescent="0.25">
      <c r="A14" t="s">
        <v>52</v>
      </c>
      <c r="B14" t="s">
        <v>33</v>
      </c>
      <c r="C14">
        <v>15320878</v>
      </c>
      <c r="D14" t="str">
        <f t="shared" si="0"/>
        <v>DAVID  </v>
      </c>
      <c r="E14" t="str">
        <f t="shared" si="1"/>
        <v>PEREZ</v>
      </c>
      <c r="F14" t="str">
        <f t="shared" si="2"/>
        <v>SANCHEZ</v>
      </c>
      <c r="G14" t="s">
        <v>36</v>
      </c>
      <c r="I14">
        <v>15320878</v>
      </c>
      <c r="J14" t="s">
        <v>36</v>
      </c>
      <c r="K14" t="s">
        <v>76</v>
      </c>
      <c r="L14" t="s">
        <v>77</v>
      </c>
      <c r="M14" t="s">
        <v>78</v>
      </c>
      <c r="N14" t="s">
        <v>36</v>
      </c>
    </row>
    <row r="15" spans="1:14" x14ac:dyDescent="0.25">
      <c r="A15" t="s">
        <v>51</v>
      </c>
      <c r="B15" t="s">
        <v>38</v>
      </c>
      <c r="C15">
        <v>15320874</v>
      </c>
      <c r="D15" t="str">
        <f t="shared" ref="D15:D27" si="3">ExtraeNom(B15)</f>
        <v>JOSE AURELIO</v>
      </c>
      <c r="E15" t="str">
        <f t="shared" ref="E15:E27" si="4">ApePat(B15)</f>
        <v>ABAN</v>
      </c>
      <c r="F15" t="str">
        <f t="shared" ref="F15:F27" si="5">ApeMat(B15)</f>
        <v>CHAN</v>
      </c>
      <c r="G15" t="s">
        <v>36</v>
      </c>
      <c r="I15">
        <v>15320874</v>
      </c>
      <c r="J15" t="s">
        <v>36</v>
      </c>
      <c r="K15" t="s">
        <v>79</v>
      </c>
      <c r="L15" t="s">
        <v>80</v>
      </c>
      <c r="M15" t="s">
        <v>64</v>
      </c>
      <c r="N15" t="s">
        <v>36</v>
      </c>
    </row>
    <row r="16" spans="1:14" x14ac:dyDescent="0.25">
      <c r="A16" t="s">
        <v>51</v>
      </c>
      <c r="B16" t="s">
        <v>39</v>
      </c>
      <c r="C16">
        <v>15320859</v>
      </c>
      <c r="D16" t="str">
        <f t="shared" si="3"/>
        <v>GENESIS NAZARET</v>
      </c>
      <c r="E16" t="str">
        <f t="shared" si="4"/>
        <v>ADRIAN</v>
      </c>
      <c r="F16" t="str">
        <f t="shared" si="5"/>
        <v>LLANES</v>
      </c>
      <c r="G16" t="s">
        <v>36</v>
      </c>
      <c r="I16">
        <v>15320859</v>
      </c>
      <c r="J16" t="s">
        <v>36</v>
      </c>
      <c r="K16" t="s">
        <v>81</v>
      </c>
      <c r="L16" t="s">
        <v>54</v>
      </c>
      <c r="M16" t="s">
        <v>6</v>
      </c>
      <c r="N16" t="s">
        <v>36</v>
      </c>
    </row>
    <row r="17" spans="1:14" x14ac:dyDescent="0.25">
      <c r="A17" t="s">
        <v>51</v>
      </c>
      <c r="B17" t="s">
        <v>40</v>
      </c>
      <c r="C17">
        <v>15320864</v>
      </c>
      <c r="D17" t="str">
        <f t="shared" si="3"/>
        <v>GERMAN EDUARDO</v>
      </c>
      <c r="E17" t="str">
        <f t="shared" si="4"/>
        <v>CHEL</v>
      </c>
      <c r="F17" t="str">
        <f t="shared" si="5"/>
        <v>UICAB</v>
      </c>
      <c r="G17" t="s">
        <v>36</v>
      </c>
      <c r="I17">
        <v>15320864</v>
      </c>
      <c r="J17" t="s">
        <v>36</v>
      </c>
      <c r="K17" t="s">
        <v>82</v>
      </c>
      <c r="L17" t="s">
        <v>83</v>
      </c>
      <c r="M17" t="s">
        <v>84</v>
      </c>
      <c r="N17" t="s">
        <v>36</v>
      </c>
    </row>
    <row r="18" spans="1:14" x14ac:dyDescent="0.25">
      <c r="A18" t="s">
        <v>51</v>
      </c>
      <c r="B18" t="s">
        <v>41</v>
      </c>
      <c r="C18">
        <v>15320884</v>
      </c>
      <c r="D18" t="str">
        <f t="shared" si="3"/>
        <v>ANAI DE JESUS</v>
      </c>
      <c r="E18" t="str">
        <f t="shared" si="4"/>
        <v>DZUL</v>
      </c>
      <c r="F18" t="str">
        <f t="shared" si="5"/>
        <v>CAAMAL</v>
      </c>
      <c r="G18" t="s">
        <v>36</v>
      </c>
      <c r="I18">
        <v>15320884</v>
      </c>
      <c r="J18" t="s">
        <v>36</v>
      </c>
      <c r="K18" t="s">
        <v>85</v>
      </c>
      <c r="L18" t="s">
        <v>72</v>
      </c>
      <c r="M18" t="s">
        <v>5</v>
      </c>
      <c r="N18" t="s">
        <v>36</v>
      </c>
    </row>
    <row r="19" spans="1:14" x14ac:dyDescent="0.25">
      <c r="A19" t="s">
        <v>51</v>
      </c>
      <c r="B19" t="s">
        <v>42</v>
      </c>
      <c r="C19">
        <v>15320779</v>
      </c>
      <c r="D19" t="str">
        <f t="shared" si="3"/>
        <v>ERIC SALVADOR</v>
      </c>
      <c r="E19" t="str">
        <f t="shared" si="4"/>
        <v>ESTRELLA</v>
      </c>
      <c r="F19" t="str">
        <f t="shared" si="5"/>
        <v>QUIJANO</v>
      </c>
      <c r="G19" t="s">
        <v>36</v>
      </c>
      <c r="I19">
        <v>15320779</v>
      </c>
      <c r="J19" t="s">
        <v>36</v>
      </c>
      <c r="K19" t="s">
        <v>86</v>
      </c>
      <c r="L19" t="s">
        <v>87</v>
      </c>
      <c r="M19" t="s">
        <v>88</v>
      </c>
      <c r="N19" t="s">
        <v>36</v>
      </c>
    </row>
    <row r="20" spans="1:14" x14ac:dyDescent="0.25">
      <c r="A20" t="s">
        <v>51</v>
      </c>
      <c r="B20" t="s">
        <v>43</v>
      </c>
      <c r="C20">
        <v>15310861</v>
      </c>
      <c r="D20" t="str">
        <f t="shared" si="3"/>
        <v>MARIA ANGELICA</v>
      </c>
      <c r="E20" t="str">
        <f t="shared" si="4"/>
        <v>GARCIA</v>
      </c>
      <c r="F20" t="str">
        <f t="shared" si="5"/>
        <v>BALAM</v>
      </c>
      <c r="G20" t="s">
        <v>36</v>
      </c>
      <c r="I20">
        <v>15310861</v>
      </c>
      <c r="J20" t="s">
        <v>36</v>
      </c>
      <c r="K20" t="s">
        <v>89</v>
      </c>
      <c r="L20" t="s">
        <v>90</v>
      </c>
      <c r="M20" t="s">
        <v>91</v>
      </c>
      <c r="N20" t="s">
        <v>36</v>
      </c>
    </row>
    <row r="21" spans="1:14" x14ac:dyDescent="0.25">
      <c r="A21" t="s">
        <v>51</v>
      </c>
      <c r="B21" t="s">
        <v>44</v>
      </c>
      <c r="C21">
        <v>15320936</v>
      </c>
      <c r="D21" t="str">
        <f t="shared" si="3"/>
        <v>MERLY ALICIA</v>
      </c>
      <c r="E21" t="str">
        <f t="shared" si="4"/>
        <v>MAY</v>
      </c>
      <c r="F21" t="str">
        <f t="shared" si="5"/>
        <v>CHAN</v>
      </c>
      <c r="G21" t="s">
        <v>36</v>
      </c>
      <c r="I21">
        <v>15320936</v>
      </c>
      <c r="J21" t="s">
        <v>36</v>
      </c>
      <c r="K21" t="s">
        <v>92</v>
      </c>
      <c r="L21" t="s">
        <v>11</v>
      </c>
      <c r="M21" t="s">
        <v>64</v>
      </c>
      <c r="N21" t="s">
        <v>36</v>
      </c>
    </row>
    <row r="22" spans="1:14" x14ac:dyDescent="0.25">
      <c r="A22" t="s">
        <v>51</v>
      </c>
      <c r="B22" t="s">
        <v>45</v>
      </c>
      <c r="C22">
        <v>15320869</v>
      </c>
      <c r="D22" t="str">
        <f t="shared" si="3"/>
        <v>SIMON  </v>
      </c>
      <c r="E22" t="str">
        <f t="shared" si="4"/>
        <v>PEREZ</v>
      </c>
      <c r="F22" t="str">
        <f t="shared" si="5"/>
        <v>SANCHEZ</v>
      </c>
      <c r="G22" t="s">
        <v>36</v>
      </c>
      <c r="I22">
        <v>15320869</v>
      </c>
      <c r="J22" t="s">
        <v>36</v>
      </c>
      <c r="K22" t="s">
        <v>93</v>
      </c>
      <c r="L22" t="s">
        <v>77</v>
      </c>
      <c r="M22" t="s">
        <v>78</v>
      </c>
      <c r="N22" t="s">
        <v>36</v>
      </c>
    </row>
    <row r="23" spans="1:14" x14ac:dyDescent="0.25">
      <c r="A23" t="s">
        <v>51</v>
      </c>
      <c r="B23" t="s">
        <v>46</v>
      </c>
      <c r="C23">
        <v>15320852</v>
      </c>
      <c r="D23" t="str">
        <f t="shared" si="3"/>
        <v>GENIFER ANAI</v>
      </c>
      <c r="E23" t="str">
        <f t="shared" si="4"/>
        <v>REJON</v>
      </c>
      <c r="F23" t="str">
        <f t="shared" si="5"/>
        <v>CANUL</v>
      </c>
      <c r="G23" t="s">
        <v>36</v>
      </c>
      <c r="I23">
        <v>15320852</v>
      </c>
      <c r="J23" t="s">
        <v>36</v>
      </c>
      <c r="K23" t="s">
        <v>94</v>
      </c>
      <c r="L23" t="s">
        <v>95</v>
      </c>
      <c r="M23" t="s">
        <v>10</v>
      </c>
      <c r="N23" t="s">
        <v>36</v>
      </c>
    </row>
    <row r="24" spans="1:14" x14ac:dyDescent="0.25">
      <c r="A24" t="s">
        <v>51</v>
      </c>
      <c r="B24" t="s">
        <v>47</v>
      </c>
      <c r="C24">
        <v>15320853</v>
      </c>
      <c r="D24" t="str">
        <f t="shared" si="3"/>
        <v>ILSE VIRIDIANA</v>
      </c>
      <c r="E24" t="str">
        <f t="shared" si="4"/>
        <v>REJON</v>
      </c>
      <c r="F24" t="str">
        <f t="shared" si="5"/>
        <v>CANUL</v>
      </c>
      <c r="G24" t="s">
        <v>36</v>
      </c>
      <c r="I24">
        <v>15320853</v>
      </c>
      <c r="J24" t="s">
        <v>36</v>
      </c>
      <c r="K24" t="s">
        <v>96</v>
      </c>
      <c r="L24" t="s">
        <v>95</v>
      </c>
      <c r="M24" t="s">
        <v>10</v>
      </c>
      <c r="N24" t="s">
        <v>36</v>
      </c>
    </row>
    <row r="25" spans="1:14" x14ac:dyDescent="0.25">
      <c r="A25" t="s">
        <v>51</v>
      </c>
      <c r="B25" t="s">
        <v>48</v>
      </c>
      <c r="C25">
        <v>15320856</v>
      </c>
      <c r="D25" t="str">
        <f t="shared" si="3"/>
        <v>MARLENY ARACELI</v>
      </c>
      <c r="E25" t="str">
        <f t="shared" si="4"/>
        <v>SANCHEZ</v>
      </c>
      <c r="F25" t="str">
        <f t="shared" si="5"/>
        <v>MAY</v>
      </c>
      <c r="G25" t="s">
        <v>36</v>
      </c>
      <c r="I25">
        <v>15320856</v>
      </c>
      <c r="J25" t="s">
        <v>36</v>
      </c>
      <c r="K25" t="s">
        <v>97</v>
      </c>
      <c r="L25" t="s">
        <v>78</v>
      </c>
      <c r="M25" t="s">
        <v>11</v>
      </c>
      <c r="N25" t="s">
        <v>36</v>
      </c>
    </row>
    <row r="26" spans="1:14" x14ac:dyDescent="0.25">
      <c r="A26" t="s">
        <v>51</v>
      </c>
      <c r="B26" t="s">
        <v>49</v>
      </c>
      <c r="C26">
        <v>15320873</v>
      </c>
      <c r="D26" t="str">
        <f t="shared" si="3"/>
        <v>ZAIRA IVONNE</v>
      </c>
      <c r="E26" t="str">
        <f t="shared" si="4"/>
        <v>TZUC</v>
      </c>
      <c r="F26" t="str">
        <f t="shared" si="5"/>
        <v>CHAN</v>
      </c>
      <c r="G26" t="s">
        <v>36</v>
      </c>
      <c r="I26">
        <v>15320873</v>
      </c>
      <c r="J26" t="s">
        <v>36</v>
      </c>
      <c r="K26" t="s">
        <v>98</v>
      </c>
      <c r="L26" t="s">
        <v>99</v>
      </c>
      <c r="M26" t="s">
        <v>64</v>
      </c>
      <c r="N26" t="s">
        <v>36</v>
      </c>
    </row>
    <row r="27" spans="1:14" x14ac:dyDescent="0.25">
      <c r="A27" t="s">
        <v>51</v>
      </c>
      <c r="B27" t="s">
        <v>50</v>
      </c>
      <c r="C27">
        <v>15320855</v>
      </c>
      <c r="D27" t="str">
        <f t="shared" si="3"/>
        <v>MARIA RAMONA NATIVIDAD</v>
      </c>
      <c r="E27" t="str">
        <f t="shared" si="4"/>
        <v>UC</v>
      </c>
      <c r="F27" t="str">
        <f t="shared" si="5"/>
        <v>OXTE</v>
      </c>
      <c r="G27" t="s">
        <v>36</v>
      </c>
      <c r="I27">
        <v>15320855</v>
      </c>
      <c r="J27" t="s">
        <v>36</v>
      </c>
      <c r="K27" t="s">
        <v>100</v>
      </c>
      <c r="L27" t="s">
        <v>101</v>
      </c>
      <c r="M27" t="s">
        <v>102</v>
      </c>
      <c r="N27" t="s">
        <v>36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B2:G30"/>
  <sheetViews>
    <sheetView topLeftCell="A13" workbookViewId="0">
      <selection activeCell="B18" sqref="B18:F30"/>
    </sheetView>
  </sheetViews>
  <sheetFormatPr baseColWidth="10" defaultRowHeight="15" x14ac:dyDescent="0.25"/>
  <cols>
    <col min="2" max="2" width="37.7109375" customWidth="1"/>
    <col min="3" max="3" width="33.28515625" customWidth="1"/>
    <col min="5" max="5" width="11.85546875" bestFit="1" customWidth="1"/>
    <col min="7" max="7" width="23.7109375" customWidth="1"/>
  </cols>
  <sheetData>
    <row r="2" spans="2:7" x14ac:dyDescent="0.25">
      <c r="C2" t="s">
        <v>0</v>
      </c>
      <c r="D2" t="s">
        <v>2</v>
      </c>
      <c r="E2" t="s">
        <v>117</v>
      </c>
      <c r="F2" t="s">
        <v>116</v>
      </c>
      <c r="G2" t="s">
        <v>35</v>
      </c>
    </row>
    <row r="3" spans="2:7" x14ac:dyDescent="0.25">
      <c r="B3" s="1" t="s">
        <v>103</v>
      </c>
      <c r="C3" s="2">
        <v>14110769</v>
      </c>
      <c r="D3" t="str">
        <f t="shared" ref="D3:D15" si="0">ExtraeNom(B3)</f>
        <v>MARTIN GUALBERTO</v>
      </c>
      <c r="E3" t="str">
        <f>ApePat(B3)</f>
        <v>ALCOCER</v>
      </c>
      <c r="F3" t="str">
        <f>ApeMat(B3)</f>
        <v>YAM</v>
      </c>
      <c r="G3" t="s">
        <v>118</v>
      </c>
    </row>
    <row r="4" spans="2:7" x14ac:dyDescent="0.25">
      <c r="B4" s="1" t="s">
        <v>104</v>
      </c>
      <c r="C4" s="2">
        <v>15110924</v>
      </c>
      <c r="D4" t="str">
        <f t="shared" si="0"/>
        <v>DAYANNA LURIMAR</v>
      </c>
      <c r="E4" t="str">
        <f t="shared" ref="E4:E15" si="1">ApePat(B4)</f>
        <v>BACAB</v>
      </c>
      <c r="F4" t="str">
        <f t="shared" ref="F4:F15" si="2">ApeMat(B4)</f>
        <v>CHAN</v>
      </c>
      <c r="G4" t="s">
        <v>118</v>
      </c>
    </row>
    <row r="5" spans="2:7" x14ac:dyDescent="0.25">
      <c r="B5" s="1" t="s">
        <v>105</v>
      </c>
      <c r="C5" s="2">
        <v>15110923</v>
      </c>
      <c r="D5" t="str">
        <f t="shared" si="0"/>
        <v>JULIO JOSE</v>
      </c>
      <c r="E5" t="str">
        <f t="shared" si="1"/>
        <v>CANCHE</v>
      </c>
      <c r="F5" t="str">
        <f t="shared" si="2"/>
        <v>LOPEZ</v>
      </c>
      <c r="G5" t="s">
        <v>118</v>
      </c>
    </row>
    <row r="6" spans="2:7" x14ac:dyDescent="0.25">
      <c r="B6" s="3" t="s">
        <v>106</v>
      </c>
      <c r="C6" s="4">
        <v>15110912</v>
      </c>
      <c r="D6" t="str">
        <f t="shared" si="0"/>
        <v>RICARDO MANUEL</v>
      </c>
      <c r="E6" t="str">
        <f t="shared" si="1"/>
        <v>CHAN</v>
      </c>
      <c r="F6" t="str">
        <f t="shared" si="2"/>
        <v>CASTAÑEDA</v>
      </c>
      <c r="G6" t="s">
        <v>118</v>
      </c>
    </row>
    <row r="7" spans="2:7" x14ac:dyDescent="0.25">
      <c r="B7" s="1" t="s">
        <v>107</v>
      </c>
      <c r="C7" s="2">
        <v>14110548</v>
      </c>
      <c r="D7" t="str">
        <f t="shared" si="0"/>
        <v>LUIS ENRIQUE</v>
      </c>
      <c r="E7" t="str">
        <f t="shared" si="1"/>
        <v>CHAN</v>
      </c>
      <c r="F7" t="str">
        <f t="shared" si="2"/>
        <v>XOOL</v>
      </c>
      <c r="G7" t="s">
        <v>118</v>
      </c>
    </row>
    <row r="8" spans="2:7" x14ac:dyDescent="0.25">
      <c r="B8" s="1" t="s">
        <v>108</v>
      </c>
      <c r="C8" s="2">
        <v>15110907</v>
      </c>
      <c r="D8" t="str">
        <f t="shared" si="0"/>
        <v>GASPAR ALEJANDRO</v>
      </c>
      <c r="E8" t="str">
        <f t="shared" si="1"/>
        <v>CIME</v>
      </c>
      <c r="F8" t="str">
        <f t="shared" si="2"/>
        <v>CAUICH</v>
      </c>
      <c r="G8" t="s">
        <v>118</v>
      </c>
    </row>
    <row r="9" spans="2:7" x14ac:dyDescent="0.25">
      <c r="B9" s="1" t="s">
        <v>109</v>
      </c>
      <c r="C9" s="2">
        <v>15110922</v>
      </c>
      <c r="D9" t="str">
        <f t="shared" si="0"/>
        <v>FABIAN</v>
      </c>
      <c r="E9" t="str">
        <f t="shared" si="1"/>
        <v>JIMENEZ</v>
      </c>
      <c r="F9" t="str">
        <f t="shared" si="2"/>
        <v>VALENCIA</v>
      </c>
      <c r="G9" t="s">
        <v>118</v>
      </c>
    </row>
    <row r="10" spans="2:7" x14ac:dyDescent="0.25">
      <c r="B10" s="1" t="s">
        <v>110</v>
      </c>
      <c r="C10" s="2">
        <v>15110911</v>
      </c>
      <c r="D10" t="str">
        <f t="shared" si="0"/>
        <v>MARCO ANTONIO</v>
      </c>
      <c r="E10" t="str">
        <f t="shared" si="1"/>
        <v>MARIN</v>
      </c>
      <c r="F10" t="str">
        <f t="shared" si="2"/>
        <v>TELLO</v>
      </c>
      <c r="G10" t="s">
        <v>118</v>
      </c>
    </row>
    <row r="11" spans="2:7" x14ac:dyDescent="0.25">
      <c r="B11" s="1" t="s">
        <v>111</v>
      </c>
      <c r="C11" s="2">
        <v>15110915</v>
      </c>
      <c r="D11" t="str">
        <f t="shared" si="0"/>
        <v>ABEL EFRAIN</v>
      </c>
      <c r="E11" t="str">
        <f t="shared" si="1"/>
        <v>MEDINA</v>
      </c>
      <c r="F11" t="str">
        <f t="shared" si="2"/>
        <v>GONZALEZ</v>
      </c>
      <c r="G11" t="s">
        <v>118</v>
      </c>
    </row>
    <row r="12" spans="2:7" x14ac:dyDescent="0.25">
      <c r="B12" s="1" t="s">
        <v>112</v>
      </c>
      <c r="C12" s="2">
        <v>15110906</v>
      </c>
      <c r="D12" t="str">
        <f t="shared" si="0"/>
        <v>GERARDO WALBERTO</v>
      </c>
      <c r="E12" t="str">
        <f t="shared" si="1"/>
        <v>PAT</v>
      </c>
      <c r="F12" t="str">
        <f t="shared" si="2"/>
        <v>LLANOS</v>
      </c>
      <c r="G12" t="s">
        <v>118</v>
      </c>
    </row>
    <row r="13" spans="2:7" x14ac:dyDescent="0.25">
      <c r="B13" s="3" t="s">
        <v>113</v>
      </c>
      <c r="C13" s="4">
        <v>15110926</v>
      </c>
      <c r="D13" t="str">
        <f t="shared" si="0"/>
        <v>LUIS ALFREDO</v>
      </c>
      <c r="E13" t="str">
        <f t="shared" si="1"/>
        <v>PEREZ</v>
      </c>
      <c r="F13" t="str">
        <f t="shared" si="2"/>
        <v>SANCHEZ</v>
      </c>
      <c r="G13" t="s">
        <v>118</v>
      </c>
    </row>
    <row r="14" spans="2:7" x14ac:dyDescent="0.25">
      <c r="B14" s="1" t="s">
        <v>114</v>
      </c>
      <c r="C14" s="2">
        <v>15110920</v>
      </c>
      <c r="D14" t="str">
        <f t="shared" si="0"/>
        <v>PABLO MIGUEL</v>
      </c>
      <c r="E14" t="str">
        <f t="shared" si="1"/>
        <v>REJON</v>
      </c>
      <c r="F14" t="str">
        <f t="shared" si="2"/>
        <v>BARBOSA</v>
      </c>
      <c r="G14" t="s">
        <v>118</v>
      </c>
    </row>
    <row r="15" spans="2:7" x14ac:dyDescent="0.25">
      <c r="B15" s="1" t="s">
        <v>115</v>
      </c>
      <c r="C15" s="2">
        <v>15110925</v>
      </c>
      <c r="D15" t="str">
        <f t="shared" si="0"/>
        <v>JULIO GABRIEL</v>
      </c>
      <c r="E15" t="str">
        <f t="shared" si="1"/>
        <v>UC</v>
      </c>
      <c r="F15" t="str">
        <f t="shared" si="2"/>
        <v>DOMINGUEZ</v>
      </c>
      <c r="G15" t="s">
        <v>118</v>
      </c>
    </row>
    <row r="18" spans="2:6" x14ac:dyDescent="0.25">
      <c r="B18">
        <v>14110769</v>
      </c>
      <c r="C18" t="s">
        <v>119</v>
      </c>
      <c r="D18" t="s">
        <v>120</v>
      </c>
      <c r="E18" t="s">
        <v>121</v>
      </c>
      <c r="F18" t="s">
        <v>118</v>
      </c>
    </row>
    <row r="19" spans="2:6" x14ac:dyDescent="0.25">
      <c r="B19">
        <v>15110924</v>
      </c>
      <c r="C19" t="s">
        <v>122</v>
      </c>
      <c r="D19" t="s">
        <v>123</v>
      </c>
      <c r="E19" t="s">
        <v>64</v>
      </c>
      <c r="F19" t="s">
        <v>118</v>
      </c>
    </row>
    <row r="20" spans="2:6" x14ac:dyDescent="0.25">
      <c r="B20">
        <v>15110923</v>
      </c>
      <c r="C20" t="s">
        <v>124</v>
      </c>
      <c r="D20" t="s">
        <v>7</v>
      </c>
      <c r="E20" t="s">
        <v>125</v>
      </c>
      <c r="F20" t="s">
        <v>118</v>
      </c>
    </row>
    <row r="21" spans="2:6" x14ac:dyDescent="0.25">
      <c r="B21">
        <v>15110912</v>
      </c>
      <c r="C21" t="s">
        <v>126</v>
      </c>
      <c r="D21" t="s">
        <v>64</v>
      </c>
      <c r="E21" t="s">
        <v>127</v>
      </c>
      <c r="F21" t="s">
        <v>118</v>
      </c>
    </row>
    <row r="22" spans="2:6" x14ac:dyDescent="0.25">
      <c r="B22">
        <v>14110548</v>
      </c>
      <c r="C22" t="s">
        <v>61</v>
      </c>
      <c r="D22" t="s">
        <v>64</v>
      </c>
      <c r="E22" t="s">
        <v>128</v>
      </c>
      <c r="F22" t="s">
        <v>118</v>
      </c>
    </row>
    <row r="23" spans="2:6" x14ac:dyDescent="0.25">
      <c r="B23">
        <v>15110907</v>
      </c>
      <c r="C23" t="s">
        <v>129</v>
      </c>
      <c r="D23" t="s">
        <v>130</v>
      </c>
      <c r="E23" t="s">
        <v>131</v>
      </c>
      <c r="F23" t="s">
        <v>118</v>
      </c>
    </row>
    <row r="24" spans="2:6" x14ac:dyDescent="0.25">
      <c r="B24">
        <v>15110922</v>
      </c>
      <c r="C24" t="s">
        <v>132</v>
      </c>
      <c r="D24" t="s">
        <v>133</v>
      </c>
      <c r="E24" t="s">
        <v>134</v>
      </c>
      <c r="F24" t="s">
        <v>118</v>
      </c>
    </row>
    <row r="25" spans="2:6" x14ac:dyDescent="0.25">
      <c r="B25">
        <v>15110911</v>
      </c>
      <c r="C25" t="s">
        <v>135</v>
      </c>
      <c r="D25" t="s">
        <v>136</v>
      </c>
      <c r="E25" t="s">
        <v>137</v>
      </c>
      <c r="F25" t="s">
        <v>118</v>
      </c>
    </row>
    <row r="26" spans="2:6" x14ac:dyDescent="0.25">
      <c r="B26">
        <v>15110915</v>
      </c>
      <c r="C26" t="s">
        <v>138</v>
      </c>
      <c r="D26" t="s">
        <v>139</v>
      </c>
      <c r="E26" t="s">
        <v>140</v>
      </c>
      <c r="F26" t="s">
        <v>118</v>
      </c>
    </row>
    <row r="27" spans="2:6" x14ac:dyDescent="0.25">
      <c r="B27">
        <v>15110906</v>
      </c>
      <c r="C27" t="s">
        <v>141</v>
      </c>
      <c r="D27" t="s">
        <v>142</v>
      </c>
      <c r="E27" t="s">
        <v>143</v>
      </c>
      <c r="F27" t="s">
        <v>118</v>
      </c>
    </row>
    <row r="28" spans="2:6" x14ac:dyDescent="0.25">
      <c r="B28">
        <v>15110926</v>
      </c>
      <c r="C28" t="s">
        <v>144</v>
      </c>
      <c r="D28" t="s">
        <v>77</v>
      </c>
      <c r="E28" t="s">
        <v>78</v>
      </c>
      <c r="F28" t="s">
        <v>118</v>
      </c>
    </row>
    <row r="29" spans="2:6" x14ac:dyDescent="0.25">
      <c r="B29">
        <v>15110920</v>
      </c>
      <c r="C29" t="s">
        <v>145</v>
      </c>
      <c r="D29" t="s">
        <v>95</v>
      </c>
      <c r="E29" t="s">
        <v>146</v>
      </c>
      <c r="F29" t="s">
        <v>118</v>
      </c>
    </row>
    <row r="30" spans="2:6" x14ac:dyDescent="0.25">
      <c r="B30">
        <v>15110925</v>
      </c>
      <c r="C30" t="s">
        <v>147</v>
      </c>
      <c r="D30" t="s">
        <v>101</v>
      </c>
      <c r="E30" t="s">
        <v>148</v>
      </c>
      <c r="F30" t="s">
        <v>118</v>
      </c>
    </row>
  </sheetData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B1:G59"/>
  <sheetViews>
    <sheetView topLeftCell="A41" workbookViewId="0">
      <selection activeCell="F50" sqref="F50"/>
    </sheetView>
  </sheetViews>
  <sheetFormatPr baseColWidth="10" defaultRowHeight="15" x14ac:dyDescent="0.25"/>
  <cols>
    <col min="2" max="2" width="53.5703125" customWidth="1"/>
    <col min="4" max="4" width="18.85546875" customWidth="1"/>
  </cols>
  <sheetData>
    <row r="1" spans="2:7" x14ac:dyDescent="0.25">
      <c r="C1" t="s">
        <v>205</v>
      </c>
      <c r="D1" t="s">
        <v>2</v>
      </c>
      <c r="E1" t="s">
        <v>117</v>
      </c>
      <c r="F1" t="s">
        <v>116</v>
      </c>
      <c r="G1" t="s">
        <v>35</v>
      </c>
    </row>
    <row r="2" spans="2:7" ht="15" customHeight="1" x14ac:dyDescent="0.25">
      <c r="B2" s="5" t="s">
        <v>149</v>
      </c>
      <c r="C2" s="6">
        <v>15310932</v>
      </c>
      <c r="D2" t="str">
        <f>ExtraeNom(B2)</f>
        <v>MIGUEL ANGEL</v>
      </c>
      <c r="E2" t="str">
        <f>ApePat(B2)</f>
        <v>AKE</v>
      </c>
      <c r="F2" t="str">
        <f>ApeMat(B2)</f>
        <v>BEH</v>
      </c>
      <c r="G2" t="s">
        <v>206</v>
      </c>
    </row>
    <row r="3" spans="2:7" ht="15" customHeight="1" x14ac:dyDescent="0.25">
      <c r="B3" s="7" t="s">
        <v>150</v>
      </c>
      <c r="C3" s="8">
        <v>15310826</v>
      </c>
      <c r="D3" t="str">
        <f t="shared" ref="D3:D17" si="0">ExtraeNom(B3)</f>
        <v>ZURELY NATIVIDAD</v>
      </c>
      <c r="E3" t="str">
        <f t="shared" ref="E3:E17" si="1">ApePat(B3)</f>
        <v>ALBORNOZ</v>
      </c>
      <c r="F3" t="str">
        <f t="shared" ref="F3:F17" si="2">ApeMat(B3)</f>
        <v>CHUC</v>
      </c>
      <c r="G3" t="s">
        <v>206</v>
      </c>
    </row>
    <row r="4" spans="2:7" ht="15" customHeight="1" x14ac:dyDescent="0.25">
      <c r="B4" s="9" t="s">
        <v>151</v>
      </c>
      <c r="C4" s="10">
        <v>15310815</v>
      </c>
      <c r="D4" t="str">
        <f t="shared" si="0"/>
        <v>JULIO CESAR</v>
      </c>
      <c r="E4" t="str">
        <f t="shared" si="1"/>
        <v>ANQUINO</v>
      </c>
      <c r="F4" t="str">
        <f t="shared" si="2"/>
        <v>AVILA</v>
      </c>
      <c r="G4" t="s">
        <v>206</v>
      </c>
    </row>
    <row r="5" spans="2:7" ht="15" customHeight="1" x14ac:dyDescent="0.25">
      <c r="B5" s="9" t="s">
        <v>152</v>
      </c>
      <c r="C5" s="10">
        <v>15310807</v>
      </c>
      <c r="D5" t="str">
        <f t="shared" si="0"/>
        <v>EVELYN SINAI</v>
      </c>
      <c r="E5" t="str">
        <f t="shared" si="1"/>
        <v>CAN</v>
      </c>
      <c r="F5" t="str">
        <f t="shared" si="2"/>
        <v>CANCHE</v>
      </c>
      <c r="G5" t="s">
        <v>206</v>
      </c>
    </row>
    <row r="6" spans="2:7" ht="15" customHeight="1" x14ac:dyDescent="0.25">
      <c r="B6" s="9" t="s">
        <v>153</v>
      </c>
      <c r="C6" s="10">
        <v>15310819</v>
      </c>
      <c r="D6" t="str">
        <f t="shared" si="0"/>
        <v>LOIDA MAGDALENA</v>
      </c>
      <c r="E6" t="str">
        <f t="shared" si="1"/>
        <v>CAN</v>
      </c>
      <c r="F6" t="str">
        <f t="shared" si="2"/>
        <v>MOO</v>
      </c>
      <c r="G6" t="s">
        <v>206</v>
      </c>
    </row>
    <row r="7" spans="2:7" ht="15" customHeight="1" x14ac:dyDescent="0.25">
      <c r="B7" s="9" t="s">
        <v>154</v>
      </c>
      <c r="C7" s="10">
        <v>15310797</v>
      </c>
      <c r="D7" t="str">
        <f t="shared" si="0"/>
        <v>RAUL ALEJANDRO</v>
      </c>
      <c r="E7" t="str">
        <f t="shared" si="1"/>
        <v>CASTRO</v>
      </c>
      <c r="F7" t="str">
        <f t="shared" si="2"/>
        <v>ARJONA</v>
      </c>
      <c r="G7" t="s">
        <v>206</v>
      </c>
    </row>
    <row r="8" spans="2:7" ht="15" customHeight="1" x14ac:dyDescent="0.25">
      <c r="B8" s="11" t="s">
        <v>155</v>
      </c>
      <c r="C8" s="10">
        <v>15310927</v>
      </c>
      <c r="D8" t="str">
        <f t="shared" si="0"/>
        <v>ROGER ALBERTO</v>
      </c>
      <c r="E8" t="str">
        <f t="shared" si="1"/>
        <v>CHAN</v>
      </c>
      <c r="F8" t="str">
        <f t="shared" si="2"/>
        <v>MAY</v>
      </c>
      <c r="G8" t="s">
        <v>206</v>
      </c>
    </row>
    <row r="9" spans="2:7" ht="15" customHeight="1" x14ac:dyDescent="0.25">
      <c r="B9" s="11" t="s">
        <v>156</v>
      </c>
      <c r="C9" s="10">
        <v>14310692</v>
      </c>
      <c r="D9" t="str">
        <f t="shared" si="0"/>
        <v>NANCY GUADALUPE</v>
      </c>
      <c r="E9" t="str">
        <f t="shared" si="1"/>
        <v>CHI</v>
      </c>
      <c r="F9" t="str">
        <f t="shared" si="2"/>
        <v>CANUL</v>
      </c>
      <c r="G9" t="s">
        <v>206</v>
      </c>
    </row>
    <row r="10" spans="2:7" ht="15" customHeight="1" x14ac:dyDescent="0.25">
      <c r="B10" s="9" t="s">
        <v>157</v>
      </c>
      <c r="C10" s="10">
        <v>15310788</v>
      </c>
      <c r="D10" t="str">
        <f t="shared" si="0"/>
        <v>ROGER GUADALUPE</v>
      </c>
      <c r="E10" t="str">
        <f t="shared" si="1"/>
        <v>CIME</v>
      </c>
      <c r="F10" t="str">
        <f t="shared" si="2"/>
        <v>UC</v>
      </c>
      <c r="G10" t="s">
        <v>206</v>
      </c>
    </row>
    <row r="11" spans="2:7" ht="15" customHeight="1" x14ac:dyDescent="0.25">
      <c r="B11" s="9" t="s">
        <v>158</v>
      </c>
      <c r="C11" s="10">
        <v>15310937</v>
      </c>
      <c r="D11" t="str">
        <f t="shared" si="0"/>
        <v>IASEL DEL MAR</v>
      </c>
      <c r="E11" t="str">
        <f t="shared" si="1"/>
        <v>CRESPO</v>
      </c>
      <c r="F11" t="str">
        <f t="shared" si="2"/>
        <v>COLLI</v>
      </c>
      <c r="G11" t="s">
        <v>206</v>
      </c>
    </row>
    <row r="12" spans="2:7" ht="15" customHeight="1" x14ac:dyDescent="0.25">
      <c r="B12" s="9" t="s">
        <v>159</v>
      </c>
      <c r="C12" s="10">
        <v>15310789</v>
      </c>
      <c r="D12" t="str">
        <f t="shared" si="0"/>
        <v>ERIK EDIEL</v>
      </c>
      <c r="E12" t="str">
        <f t="shared" si="1"/>
        <v>DZUL</v>
      </c>
      <c r="F12" t="str">
        <f t="shared" si="2"/>
        <v>CANCHE</v>
      </c>
      <c r="G12" t="s">
        <v>206</v>
      </c>
    </row>
    <row r="13" spans="2:7" ht="15" customHeight="1" x14ac:dyDescent="0.25">
      <c r="B13" s="12" t="s">
        <v>160</v>
      </c>
      <c r="C13" s="13">
        <v>15310929</v>
      </c>
      <c r="D13" t="str">
        <f t="shared" si="0"/>
        <v>FRANCISCO ESTEBAN</v>
      </c>
      <c r="E13" t="str">
        <f t="shared" si="1"/>
        <v>DZUL</v>
      </c>
      <c r="F13" t="str">
        <f t="shared" si="2"/>
        <v>ORTIZ</v>
      </c>
      <c r="G13" t="s">
        <v>206</v>
      </c>
    </row>
    <row r="14" spans="2:7" ht="15" customHeight="1" x14ac:dyDescent="0.25">
      <c r="B14" s="14" t="s">
        <v>161</v>
      </c>
      <c r="C14" s="4">
        <v>15310931</v>
      </c>
      <c r="D14" t="str">
        <f t="shared" si="0"/>
        <v>ALEJANDRA MICHELLE</v>
      </c>
      <c r="E14" t="str">
        <f t="shared" si="1"/>
        <v>MARTIN</v>
      </c>
      <c r="F14" t="str">
        <f t="shared" si="2"/>
        <v>BURGOS</v>
      </c>
      <c r="G14" t="s">
        <v>206</v>
      </c>
    </row>
    <row r="15" spans="2:7" ht="15" customHeight="1" x14ac:dyDescent="0.25">
      <c r="B15" s="9" t="s">
        <v>162</v>
      </c>
      <c r="C15" s="10">
        <v>15310846</v>
      </c>
      <c r="D15" t="str">
        <f t="shared" si="0"/>
        <v>FELIPE DE JESUS</v>
      </c>
      <c r="E15" t="str">
        <f t="shared" si="1"/>
        <v>NAHUAT</v>
      </c>
      <c r="F15" t="str">
        <f t="shared" si="2"/>
        <v>GONZALEZ</v>
      </c>
      <c r="G15" t="s">
        <v>206</v>
      </c>
    </row>
    <row r="16" spans="2:7" ht="15" customHeight="1" x14ac:dyDescent="0.25">
      <c r="B16" s="9" t="s">
        <v>163</v>
      </c>
      <c r="C16" s="10">
        <v>15310782</v>
      </c>
      <c r="D16" t="str">
        <f t="shared" si="0"/>
        <v>LORNA SAHAD</v>
      </c>
      <c r="E16" t="str">
        <f t="shared" si="1"/>
        <v>PERALTA</v>
      </c>
      <c r="F16" t="str">
        <f t="shared" si="2"/>
        <v>MARTIN</v>
      </c>
      <c r="G16" t="s">
        <v>206</v>
      </c>
    </row>
    <row r="17" spans="2:7" ht="15" customHeight="1" x14ac:dyDescent="0.25">
      <c r="B17" s="9" t="s">
        <v>164</v>
      </c>
      <c r="C17" s="10">
        <v>15310802</v>
      </c>
      <c r="D17" t="str">
        <f t="shared" si="0"/>
        <v>ISAAC ISAI</v>
      </c>
      <c r="E17" t="str">
        <f t="shared" si="1"/>
        <v>UITZIL</v>
      </c>
      <c r="F17" t="str">
        <f t="shared" si="2"/>
        <v>MAY</v>
      </c>
      <c r="G17" t="s">
        <v>206</v>
      </c>
    </row>
    <row r="19" spans="2:7" x14ac:dyDescent="0.25">
      <c r="B19" s="9" t="s">
        <v>165</v>
      </c>
      <c r="C19" s="10">
        <v>15310790</v>
      </c>
      <c r="D19" t="str">
        <f t="shared" ref="D19" si="3">ExtraeNom(B19)</f>
        <v>CRISTIAN ALEJANDRO</v>
      </c>
      <c r="E19" t="str">
        <f t="shared" ref="E19" si="4">ApePat(B19)</f>
        <v>CAAMAL</v>
      </c>
      <c r="F19" t="str">
        <f t="shared" ref="F19" si="5">ApeMat(B19)</f>
        <v>CHUC</v>
      </c>
      <c r="G19" t="s">
        <v>206</v>
      </c>
    </row>
    <row r="20" spans="2:7" x14ac:dyDescent="0.25">
      <c r="B20" s="9" t="s">
        <v>166</v>
      </c>
      <c r="C20" s="10">
        <v>15310843</v>
      </c>
      <c r="D20" t="str">
        <f t="shared" ref="D20:D39" si="6">ExtraeNom(B20)</f>
        <v>EDUARDO JAVIER</v>
      </c>
      <c r="E20" t="str">
        <f t="shared" ref="E20:E39" si="7">ApePat(B20)</f>
        <v>CHUC</v>
      </c>
      <c r="F20" t="str">
        <f t="shared" ref="F20:F39" si="8">ApeMat(B20)</f>
        <v>MEZETA</v>
      </c>
      <c r="G20" t="s">
        <v>206</v>
      </c>
    </row>
    <row r="21" spans="2:7" x14ac:dyDescent="0.25">
      <c r="B21" s="9" t="s">
        <v>167</v>
      </c>
      <c r="C21" s="10">
        <v>15310835</v>
      </c>
      <c r="D21" t="str">
        <f t="shared" si="6"/>
        <v>JOSE ENRIQUE</v>
      </c>
      <c r="E21" t="str">
        <f t="shared" si="7"/>
        <v>COB</v>
      </c>
      <c r="F21" t="str">
        <f t="shared" si="8"/>
        <v>TUT</v>
      </c>
      <c r="G21" t="s">
        <v>206</v>
      </c>
    </row>
    <row r="22" spans="2:7" x14ac:dyDescent="0.25">
      <c r="B22" s="9" t="s">
        <v>168</v>
      </c>
      <c r="C22" s="10">
        <v>15310784</v>
      </c>
      <c r="D22" t="str">
        <f t="shared" si="6"/>
        <v>ELISA MARIA</v>
      </c>
      <c r="E22" t="str">
        <f t="shared" si="7"/>
        <v>COOL</v>
      </c>
      <c r="F22" t="str">
        <f t="shared" si="8"/>
        <v>TZEC</v>
      </c>
      <c r="G22" t="s">
        <v>206</v>
      </c>
    </row>
    <row r="23" spans="2:7" x14ac:dyDescent="0.25">
      <c r="B23" s="12" t="s">
        <v>169</v>
      </c>
      <c r="C23" s="13">
        <v>15310830</v>
      </c>
      <c r="D23" t="str">
        <f t="shared" si="6"/>
        <v>MARIA NAYMA DIANELLY</v>
      </c>
      <c r="E23" t="str">
        <f t="shared" si="7"/>
        <v>DZUL</v>
      </c>
      <c r="F23" t="str">
        <f t="shared" si="8"/>
        <v>BRICEÑO</v>
      </c>
      <c r="G23" t="s">
        <v>206</v>
      </c>
    </row>
    <row r="24" spans="2:7" x14ac:dyDescent="0.25">
      <c r="B24" s="9" t="s">
        <v>170</v>
      </c>
      <c r="C24" s="10">
        <v>15310850</v>
      </c>
      <c r="D24" t="str">
        <f t="shared" si="6"/>
        <v>ANA ESMERALDA</v>
      </c>
      <c r="E24" t="str">
        <f t="shared" si="7"/>
        <v>EUAN</v>
      </c>
      <c r="F24" t="str">
        <f t="shared" si="8"/>
        <v>CAN</v>
      </c>
      <c r="G24" t="s">
        <v>206</v>
      </c>
    </row>
    <row r="25" spans="2:7" x14ac:dyDescent="0.25">
      <c r="B25" s="9" t="s">
        <v>171</v>
      </c>
      <c r="C25" s="10">
        <v>15310801</v>
      </c>
      <c r="D25" t="str">
        <f t="shared" si="6"/>
        <v>ASAEL</v>
      </c>
      <c r="E25" t="str">
        <f t="shared" si="7"/>
        <v>GARCIA</v>
      </c>
      <c r="F25" t="str">
        <f t="shared" si="8"/>
        <v>ESCALANTE</v>
      </c>
      <c r="G25" t="s">
        <v>206</v>
      </c>
    </row>
    <row r="26" spans="2:7" x14ac:dyDescent="0.25">
      <c r="B26" s="9" t="s">
        <v>172</v>
      </c>
      <c r="C26" s="10">
        <v>15310842</v>
      </c>
      <c r="D26" t="str">
        <f t="shared" si="6"/>
        <v>GUILLERMO  </v>
      </c>
      <c r="E26" t="str">
        <f t="shared" si="7"/>
        <v>GARCIA</v>
      </c>
      <c r="F26" t="str">
        <f t="shared" si="8"/>
        <v>PAT</v>
      </c>
      <c r="G26" t="s">
        <v>206</v>
      </c>
    </row>
    <row r="27" spans="2:7" x14ac:dyDescent="0.25">
      <c r="B27" s="9" t="s">
        <v>173</v>
      </c>
      <c r="C27" s="10">
        <v>15310839</v>
      </c>
      <c r="D27" t="str">
        <f t="shared" si="6"/>
        <v>IRVIN JESUS</v>
      </c>
      <c r="E27" t="str">
        <f t="shared" si="7"/>
        <v>GONZALEZ</v>
      </c>
      <c r="F27" t="str">
        <f t="shared" si="8"/>
        <v>CARO</v>
      </c>
      <c r="G27" t="s">
        <v>206</v>
      </c>
    </row>
    <row r="28" spans="2:7" x14ac:dyDescent="0.25">
      <c r="B28" s="9" t="s">
        <v>174</v>
      </c>
      <c r="C28" s="10">
        <v>15310822</v>
      </c>
      <c r="D28" t="str">
        <f t="shared" si="6"/>
        <v>JULIANA ELIZABETH</v>
      </c>
      <c r="E28" t="str">
        <f t="shared" si="7"/>
        <v>GOROCICA</v>
      </c>
      <c r="F28" t="str">
        <f t="shared" si="8"/>
        <v>CHE</v>
      </c>
      <c r="G28" t="s">
        <v>206</v>
      </c>
    </row>
    <row r="29" spans="2:7" x14ac:dyDescent="0.25">
      <c r="B29" s="9" t="s">
        <v>175</v>
      </c>
      <c r="C29" s="10">
        <v>15310967</v>
      </c>
      <c r="D29" t="str">
        <f t="shared" si="6"/>
        <v>REINA MARGARITA</v>
      </c>
      <c r="E29" t="str">
        <f t="shared" si="7"/>
        <v>HERRERA</v>
      </c>
      <c r="F29" t="str">
        <f t="shared" si="8"/>
        <v>RIOS</v>
      </c>
      <c r="G29" t="s">
        <v>206</v>
      </c>
    </row>
    <row r="30" spans="2:7" x14ac:dyDescent="0.25">
      <c r="B30" s="9" t="s">
        <v>176</v>
      </c>
      <c r="C30" s="10">
        <v>15310787</v>
      </c>
      <c r="D30" t="str">
        <f t="shared" si="6"/>
        <v>ROGELIO ALEJANDRO</v>
      </c>
      <c r="E30" t="str">
        <f t="shared" si="7"/>
        <v>HUCHIM</v>
      </c>
      <c r="F30" t="str">
        <f t="shared" si="8"/>
        <v>CANCHE</v>
      </c>
      <c r="G30" t="s">
        <v>206</v>
      </c>
    </row>
    <row r="31" spans="2:7" x14ac:dyDescent="0.25">
      <c r="B31" s="9" t="s">
        <v>177</v>
      </c>
      <c r="C31" s="10">
        <v>15310847</v>
      </c>
      <c r="D31" t="str">
        <f t="shared" si="6"/>
        <v>BRENDA ESMERALDA</v>
      </c>
      <c r="E31" t="str">
        <f t="shared" si="7"/>
        <v>MARTIN</v>
      </c>
      <c r="F31" t="str">
        <f t="shared" si="8"/>
        <v>AC</v>
      </c>
      <c r="G31" t="s">
        <v>206</v>
      </c>
    </row>
    <row r="32" spans="2:7" x14ac:dyDescent="0.25">
      <c r="B32" s="9" t="s">
        <v>178</v>
      </c>
      <c r="C32" s="10">
        <v>15310778</v>
      </c>
      <c r="D32" t="str">
        <f t="shared" si="6"/>
        <v>JUAN PABLO</v>
      </c>
      <c r="E32" t="str">
        <f t="shared" si="7"/>
        <v>MAY</v>
      </c>
      <c r="F32" t="str">
        <f t="shared" si="8"/>
        <v>UITZ</v>
      </c>
      <c r="G32" t="s">
        <v>206</v>
      </c>
    </row>
    <row r="33" spans="2:7" x14ac:dyDescent="0.25">
      <c r="B33" s="9" t="s">
        <v>179</v>
      </c>
      <c r="C33" s="10">
        <v>15310928</v>
      </c>
      <c r="D33" t="str">
        <f t="shared" si="6"/>
        <v>MARIA TERESA DE JESUS</v>
      </c>
      <c r="E33" t="str">
        <f t="shared" si="7"/>
        <v>MEX</v>
      </c>
      <c r="F33" t="str">
        <f t="shared" si="8"/>
        <v>LEAL</v>
      </c>
      <c r="G33" t="s">
        <v>206</v>
      </c>
    </row>
    <row r="34" spans="2:7" x14ac:dyDescent="0.25">
      <c r="B34" s="9" t="s">
        <v>180</v>
      </c>
      <c r="C34" s="10">
        <v>15310793</v>
      </c>
      <c r="D34" t="str">
        <f t="shared" si="6"/>
        <v>FRANCIS GUADALUPE</v>
      </c>
      <c r="E34" t="str">
        <f t="shared" si="7"/>
        <v>MEX</v>
      </c>
      <c r="F34" t="str">
        <f t="shared" si="8"/>
        <v>TAMAY</v>
      </c>
      <c r="G34" t="s">
        <v>206</v>
      </c>
    </row>
    <row r="35" spans="2:7" x14ac:dyDescent="0.25">
      <c r="B35" s="9" t="s">
        <v>181</v>
      </c>
      <c r="C35" s="10">
        <v>15310814</v>
      </c>
      <c r="D35" t="str">
        <f t="shared" si="6"/>
        <v>PABLO ISMAEL</v>
      </c>
      <c r="E35" t="str">
        <f t="shared" si="7"/>
        <v>MEZETA</v>
      </c>
      <c r="F35" t="str">
        <f t="shared" si="8"/>
        <v>LOPEZ</v>
      </c>
      <c r="G35" t="s">
        <v>206</v>
      </c>
    </row>
    <row r="36" spans="2:7" x14ac:dyDescent="0.25">
      <c r="B36" s="9" t="s">
        <v>182</v>
      </c>
      <c r="C36" s="10">
        <v>15310817</v>
      </c>
      <c r="D36" t="str">
        <f t="shared" si="6"/>
        <v>CRISTIAN ERNESTO</v>
      </c>
      <c r="E36" t="str">
        <f t="shared" si="7"/>
        <v>PECH</v>
      </c>
      <c r="F36" t="str">
        <f t="shared" si="8"/>
        <v>CAUICH</v>
      </c>
      <c r="G36" t="s">
        <v>206</v>
      </c>
    </row>
    <row r="37" spans="2:7" x14ac:dyDescent="0.25">
      <c r="B37" s="9" t="s">
        <v>183</v>
      </c>
      <c r="C37" s="10">
        <v>15310799</v>
      </c>
      <c r="D37" t="str">
        <f t="shared" si="6"/>
        <v>JARED ABRIL</v>
      </c>
      <c r="E37" t="str">
        <f t="shared" si="7"/>
        <v>SALAS</v>
      </c>
      <c r="F37" t="str">
        <f t="shared" si="8"/>
        <v>ORDOÑEZ</v>
      </c>
      <c r="G37" t="s">
        <v>206</v>
      </c>
    </row>
    <row r="38" spans="2:7" x14ac:dyDescent="0.25">
      <c r="B38" s="9" t="s">
        <v>184</v>
      </c>
      <c r="C38" s="10">
        <v>15310840</v>
      </c>
      <c r="D38" t="str">
        <f t="shared" si="6"/>
        <v>JOSE RODOLFO</v>
      </c>
      <c r="E38" t="str">
        <f t="shared" si="7"/>
        <v>SANSORES</v>
      </c>
      <c r="F38" t="str">
        <f t="shared" si="8"/>
        <v>COB</v>
      </c>
      <c r="G38" t="s">
        <v>206</v>
      </c>
    </row>
    <row r="39" spans="2:7" x14ac:dyDescent="0.25">
      <c r="B39" s="9" t="s">
        <v>185</v>
      </c>
      <c r="C39" s="10">
        <v>15310792</v>
      </c>
      <c r="D39" t="str">
        <f t="shared" si="6"/>
        <v>SELMY LUCIA</v>
      </c>
      <c r="E39" t="str">
        <f t="shared" si="7"/>
        <v>TUZ</v>
      </c>
      <c r="F39" t="str">
        <f t="shared" si="8"/>
        <v>TUN</v>
      </c>
      <c r="G39" t="s">
        <v>206</v>
      </c>
    </row>
    <row r="41" spans="2:7" x14ac:dyDescent="0.25">
      <c r="B41" s="9" t="s">
        <v>186</v>
      </c>
      <c r="C41" s="10">
        <v>15310818</v>
      </c>
      <c r="D41" t="str">
        <f t="shared" ref="D41" si="9">ExtraeNom(B41)</f>
        <v>GERARDO ISMAEL</v>
      </c>
      <c r="E41" t="str">
        <f t="shared" ref="E41" si="10">ApePat(B41)</f>
        <v>BORGES</v>
      </c>
      <c r="F41" t="str">
        <f t="shared" ref="F41" si="11">ApeMat(B41)</f>
        <v>PECH</v>
      </c>
      <c r="G41" t="s">
        <v>206</v>
      </c>
    </row>
    <row r="42" spans="2:7" x14ac:dyDescent="0.25">
      <c r="B42" s="9" t="s">
        <v>187</v>
      </c>
      <c r="C42" s="10">
        <v>15310794</v>
      </c>
      <c r="D42" t="str">
        <f t="shared" ref="D42:D59" si="12">ExtraeNom(B42)</f>
        <v>REYNA AIDA VIRGINIA</v>
      </c>
      <c r="E42" t="str">
        <f t="shared" ref="E42:E59" si="13">ApePat(B42)</f>
        <v>CAN</v>
      </c>
      <c r="F42" t="str">
        <f t="shared" ref="F42:F59" si="14">ApeMat(B42)</f>
        <v>MEDINA</v>
      </c>
      <c r="G42" t="s">
        <v>206</v>
      </c>
    </row>
    <row r="43" spans="2:7" x14ac:dyDescent="0.25">
      <c r="B43" s="9" t="s">
        <v>188</v>
      </c>
      <c r="C43" s="10">
        <v>15310800</v>
      </c>
      <c r="D43" t="str">
        <f t="shared" si="12"/>
        <v>FELIPE GABRIEL</v>
      </c>
      <c r="E43" t="str">
        <f t="shared" si="13"/>
        <v>CANCHE</v>
      </c>
      <c r="F43" t="str">
        <f t="shared" si="14"/>
        <v>MOGUEL</v>
      </c>
      <c r="G43" t="s">
        <v>206</v>
      </c>
    </row>
    <row r="44" spans="2:7" x14ac:dyDescent="0.25">
      <c r="B44" s="9" t="s">
        <v>189</v>
      </c>
      <c r="C44" s="10">
        <v>15310806</v>
      </c>
      <c r="D44" t="str">
        <f t="shared" si="12"/>
        <v>EDUARDO GERARDO</v>
      </c>
      <c r="E44" t="str">
        <f t="shared" si="13"/>
        <v>CANUL</v>
      </c>
      <c r="F44" t="str">
        <f t="shared" si="14"/>
        <v>POOL</v>
      </c>
      <c r="G44" t="s">
        <v>206</v>
      </c>
    </row>
    <row r="45" spans="2:7" x14ac:dyDescent="0.25">
      <c r="B45" s="9" t="s">
        <v>190</v>
      </c>
      <c r="C45" s="10">
        <v>15310832</v>
      </c>
      <c r="D45" t="str">
        <f t="shared" si="12"/>
        <v>MILDRED ANGELICA</v>
      </c>
      <c r="E45" t="str">
        <f t="shared" si="13"/>
        <v>CHALE</v>
      </c>
      <c r="F45" t="str">
        <f t="shared" si="14"/>
        <v>EUAN</v>
      </c>
      <c r="G45" t="s">
        <v>206</v>
      </c>
    </row>
    <row r="46" spans="2:7" x14ac:dyDescent="0.25">
      <c r="B46" s="9" t="s">
        <v>191</v>
      </c>
      <c r="C46" s="10">
        <v>15310803</v>
      </c>
      <c r="D46" t="str">
        <f t="shared" si="12"/>
        <v>JOSE LUIS</v>
      </c>
      <c r="E46" t="str">
        <f t="shared" si="13"/>
        <v>CHAN</v>
      </c>
      <c r="F46" t="str">
        <f t="shared" si="14"/>
        <v>COUOH</v>
      </c>
      <c r="G46" t="s">
        <v>206</v>
      </c>
    </row>
    <row r="47" spans="2:7" x14ac:dyDescent="0.25">
      <c r="B47" s="9" t="s">
        <v>192</v>
      </c>
      <c r="C47" s="10">
        <v>15310813</v>
      </c>
      <c r="D47" t="str">
        <f t="shared" si="12"/>
        <v>SILVIA CAROLINA</v>
      </c>
      <c r="E47" t="str">
        <f t="shared" si="13"/>
        <v>CHAN</v>
      </c>
      <c r="F47" t="str">
        <f t="shared" si="14"/>
        <v>GAMBOA</v>
      </c>
      <c r="G47" t="s">
        <v>206</v>
      </c>
    </row>
    <row r="48" spans="2:7" x14ac:dyDescent="0.25">
      <c r="B48" s="9" t="s">
        <v>193</v>
      </c>
      <c r="C48" s="10">
        <v>15310804</v>
      </c>
      <c r="D48" t="str">
        <f t="shared" si="12"/>
        <v>JOSE LUIS</v>
      </c>
      <c r="E48" t="str">
        <f t="shared" si="13"/>
        <v>OJEDA</v>
      </c>
      <c r="F48" t="str">
        <f t="shared" si="14"/>
        <v>SARABIA</v>
      </c>
      <c r="G48" t="s">
        <v>206</v>
      </c>
    </row>
    <row r="49" spans="2:7" x14ac:dyDescent="0.25">
      <c r="B49" s="9" t="s">
        <v>194</v>
      </c>
      <c r="C49" s="10">
        <v>15310824</v>
      </c>
      <c r="D49" t="str">
        <f t="shared" si="12"/>
        <v>KARLA GUADALUPE</v>
      </c>
      <c r="E49" t="str">
        <f t="shared" si="13"/>
        <v>PARRA</v>
      </c>
      <c r="F49" t="str">
        <f t="shared" si="14"/>
        <v>PECH</v>
      </c>
      <c r="G49" t="s">
        <v>206</v>
      </c>
    </row>
    <row r="50" spans="2:7" x14ac:dyDescent="0.25">
      <c r="B50" s="9" t="s">
        <v>195</v>
      </c>
      <c r="C50" s="10">
        <v>15310838</v>
      </c>
      <c r="D50" t="str">
        <f t="shared" si="12"/>
        <v>JUAN CARLOS</v>
      </c>
      <c r="E50" t="str">
        <f t="shared" si="13"/>
        <v>PECH</v>
      </c>
      <c r="F50" t="str">
        <f t="shared" si="14"/>
        <v>PECH</v>
      </c>
      <c r="G50" t="s">
        <v>206</v>
      </c>
    </row>
    <row r="51" spans="2:7" x14ac:dyDescent="0.25">
      <c r="B51" s="9" t="s">
        <v>196</v>
      </c>
      <c r="C51" s="10">
        <v>15310828</v>
      </c>
      <c r="D51" t="str">
        <f t="shared" si="12"/>
        <v>ARMANDO ALEJANDRO</v>
      </c>
      <c r="E51" t="str">
        <f t="shared" si="13"/>
        <v>PEÑA</v>
      </c>
      <c r="F51" t="str">
        <f t="shared" si="14"/>
        <v>TEC</v>
      </c>
      <c r="G51" t="s">
        <v>206</v>
      </c>
    </row>
    <row r="52" spans="2:7" x14ac:dyDescent="0.25">
      <c r="B52" s="9" t="s">
        <v>197</v>
      </c>
      <c r="C52" s="10">
        <v>15310834</v>
      </c>
      <c r="D52" t="str">
        <f t="shared" si="12"/>
        <v>SANTIAGO EDUARDO</v>
      </c>
      <c r="E52" t="str">
        <f t="shared" si="13"/>
        <v>QUINTAL</v>
      </c>
      <c r="F52" t="str">
        <f t="shared" si="14"/>
        <v>CETZAL</v>
      </c>
      <c r="G52" t="s">
        <v>206</v>
      </c>
    </row>
    <row r="53" spans="2:7" x14ac:dyDescent="0.25">
      <c r="B53" s="11" t="s">
        <v>198</v>
      </c>
      <c r="C53" s="10">
        <v>15310812</v>
      </c>
      <c r="D53" t="str">
        <f t="shared" si="12"/>
        <v>MANUEL DE JESUS</v>
      </c>
      <c r="E53" t="str">
        <f t="shared" si="13"/>
        <v>REYES</v>
      </c>
      <c r="F53" t="str">
        <f t="shared" si="14"/>
        <v>CHAN</v>
      </c>
      <c r="G53" t="s">
        <v>206</v>
      </c>
    </row>
    <row r="54" spans="2:7" x14ac:dyDescent="0.25">
      <c r="B54" s="9" t="s">
        <v>199</v>
      </c>
      <c r="C54" s="10">
        <v>15310829</v>
      </c>
      <c r="D54" t="str">
        <f t="shared" si="12"/>
        <v>ARELY GUADALUPE</v>
      </c>
      <c r="E54" t="str">
        <f t="shared" si="13"/>
        <v>SANTIAGO</v>
      </c>
      <c r="F54" t="str">
        <f t="shared" si="14"/>
        <v>RODRIGUEZ</v>
      </c>
      <c r="G54" t="s">
        <v>206</v>
      </c>
    </row>
    <row r="55" spans="2:7" x14ac:dyDescent="0.25">
      <c r="B55" s="9" t="s">
        <v>200</v>
      </c>
      <c r="C55" s="10">
        <v>15310827</v>
      </c>
      <c r="D55" t="str">
        <f t="shared" si="12"/>
        <v>ZELMY GUADALUPE</v>
      </c>
      <c r="E55" t="str">
        <f t="shared" si="13"/>
        <v>SANTOS</v>
      </c>
      <c r="F55" t="str">
        <f t="shared" si="14"/>
        <v>VALLADARES</v>
      </c>
      <c r="G55" t="s">
        <v>206</v>
      </c>
    </row>
    <row r="56" spans="2:7" x14ac:dyDescent="0.25">
      <c r="B56" s="9" t="s">
        <v>201</v>
      </c>
      <c r="C56" s="10">
        <v>15310837</v>
      </c>
      <c r="D56" t="str">
        <f t="shared" si="12"/>
        <v>ROYER ALFREDO</v>
      </c>
      <c r="E56" t="str">
        <f t="shared" si="13"/>
        <v>SEL</v>
      </c>
      <c r="F56" t="str">
        <f t="shared" si="14"/>
        <v>PECH</v>
      </c>
      <c r="G56" t="s">
        <v>206</v>
      </c>
    </row>
    <row r="57" spans="2:7" x14ac:dyDescent="0.25">
      <c r="B57" s="9" t="s">
        <v>202</v>
      </c>
      <c r="C57" s="10">
        <v>15310783</v>
      </c>
      <c r="D57" t="str">
        <f t="shared" si="12"/>
        <v>LAURA PATRICIA</v>
      </c>
      <c r="E57" t="str">
        <f t="shared" si="13"/>
        <v>TUN</v>
      </c>
      <c r="F57" t="str">
        <f t="shared" si="14"/>
        <v>PEREZ</v>
      </c>
      <c r="G57" t="s">
        <v>206</v>
      </c>
    </row>
    <row r="58" spans="2:7" x14ac:dyDescent="0.25">
      <c r="B58" s="9" t="s">
        <v>203</v>
      </c>
      <c r="C58" s="10">
        <v>15310851</v>
      </c>
      <c r="D58" t="str">
        <f t="shared" si="12"/>
        <v>MILDRED GISELLY</v>
      </c>
      <c r="E58" t="str">
        <f t="shared" si="13"/>
        <v>TZAB</v>
      </c>
      <c r="F58" t="str">
        <f t="shared" si="14"/>
        <v>CANTE</v>
      </c>
      <c r="G58" t="s">
        <v>206</v>
      </c>
    </row>
    <row r="59" spans="2:7" x14ac:dyDescent="0.25">
      <c r="B59" s="9" t="s">
        <v>204</v>
      </c>
      <c r="C59" s="10">
        <v>15310791</v>
      </c>
      <c r="D59" t="str">
        <f t="shared" si="12"/>
        <v>JUAN CARLOS</v>
      </c>
      <c r="E59" t="str">
        <f t="shared" si="13"/>
        <v>YAM</v>
      </c>
      <c r="F59" t="str">
        <f t="shared" si="14"/>
        <v>DZIB</v>
      </c>
      <c r="G59" t="s">
        <v>206</v>
      </c>
    </row>
  </sheetData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C1:M24"/>
  <sheetViews>
    <sheetView workbookViewId="0">
      <selection activeCell="E2" sqref="E2:G2"/>
    </sheetView>
  </sheetViews>
  <sheetFormatPr baseColWidth="10" defaultRowHeight="15" x14ac:dyDescent="0.25"/>
  <cols>
    <col min="2" max="2" width="10.5703125" customWidth="1"/>
    <col min="3" max="3" width="35.28515625" customWidth="1"/>
    <col min="5" max="5" width="24.5703125" customWidth="1"/>
    <col min="8" max="8" width="9.42578125" customWidth="1"/>
    <col min="9" max="9" width="5" customWidth="1"/>
    <col min="12" max="13" width="4.28515625" customWidth="1"/>
  </cols>
  <sheetData>
    <row r="1" spans="3:13" ht="15.75" thickBot="1" x14ac:dyDescent="0.3">
      <c r="D1" t="s">
        <v>0</v>
      </c>
      <c r="E1" t="s">
        <v>2</v>
      </c>
      <c r="F1" t="s">
        <v>34</v>
      </c>
      <c r="G1" t="s">
        <v>4</v>
      </c>
      <c r="H1" t="s">
        <v>230</v>
      </c>
      <c r="I1" t="s">
        <v>231</v>
      </c>
      <c r="J1" t="s">
        <v>232</v>
      </c>
      <c r="K1" t="s">
        <v>233</v>
      </c>
      <c r="L1" t="s">
        <v>234</v>
      </c>
      <c r="M1" t="s">
        <v>235</v>
      </c>
    </row>
    <row r="2" spans="3:13" x14ac:dyDescent="0.25">
      <c r="C2" s="16" t="s">
        <v>207</v>
      </c>
      <c r="D2" s="15">
        <v>16211002</v>
      </c>
      <c r="E2" t="str">
        <f>ExtraeNom(C2)</f>
        <v>JORGE ANTONIO</v>
      </c>
      <c r="F2" t="str">
        <f>ApePat(C2)</f>
        <v>ARGAEZ</v>
      </c>
      <c r="G2" t="str">
        <f>ApeMat(C2)</f>
        <v>QUIJANO</v>
      </c>
      <c r="H2" t="s">
        <v>22</v>
      </c>
      <c r="J2">
        <v>2</v>
      </c>
    </row>
    <row r="3" spans="3:13" x14ac:dyDescent="0.25">
      <c r="C3" s="18" t="s">
        <v>208</v>
      </c>
      <c r="D3" s="17">
        <v>16211004</v>
      </c>
      <c r="E3" t="str">
        <f t="shared" ref="E3:E24" si="0">ExtraeNom(C3)</f>
        <v>JORGE CARLOS</v>
      </c>
      <c r="F3" t="str">
        <f t="shared" ref="F3:F24" si="1">ApePat(C3)</f>
        <v>CASTRO</v>
      </c>
      <c r="G3" t="str">
        <f t="shared" ref="G3:G24" si="2">ApeMat(C3)</f>
        <v>KOH</v>
      </c>
      <c r="H3" t="s">
        <v>22</v>
      </c>
      <c r="J3">
        <v>2</v>
      </c>
    </row>
    <row r="4" spans="3:13" x14ac:dyDescent="0.25">
      <c r="C4" s="19" t="s">
        <v>209</v>
      </c>
      <c r="D4" s="17">
        <v>16211006</v>
      </c>
      <c r="E4" t="str">
        <f t="shared" si="0"/>
        <v>LINA SALMAI</v>
      </c>
      <c r="F4" t="str">
        <f t="shared" si="1"/>
        <v>DZIB</v>
      </c>
      <c r="G4" t="str">
        <f t="shared" si="2"/>
        <v>CIME</v>
      </c>
      <c r="H4" t="s">
        <v>22</v>
      </c>
      <c r="J4">
        <v>2</v>
      </c>
    </row>
    <row r="5" spans="3:13" x14ac:dyDescent="0.25">
      <c r="C5" s="18" t="s">
        <v>210</v>
      </c>
      <c r="D5" s="20">
        <v>16211007</v>
      </c>
      <c r="E5" t="str">
        <f t="shared" si="0"/>
        <v>JOSUE DAVID</v>
      </c>
      <c r="F5" t="str">
        <f t="shared" si="1"/>
        <v>DZIB</v>
      </c>
      <c r="G5" t="str">
        <f t="shared" si="2"/>
        <v>EK</v>
      </c>
      <c r="H5" t="s">
        <v>22</v>
      </c>
      <c r="J5">
        <v>2</v>
      </c>
    </row>
    <row r="6" spans="3:13" x14ac:dyDescent="0.25">
      <c r="C6" s="18" t="s">
        <v>211</v>
      </c>
      <c r="D6" s="21">
        <v>16211008</v>
      </c>
      <c r="E6" t="str">
        <f t="shared" si="0"/>
        <v>MANUEL DE JESUS</v>
      </c>
      <c r="F6" t="str">
        <f t="shared" si="1"/>
        <v>DZUL</v>
      </c>
      <c r="G6" t="str">
        <f t="shared" si="2"/>
        <v>BEH</v>
      </c>
      <c r="H6" t="s">
        <v>22</v>
      </c>
      <c r="J6">
        <v>2</v>
      </c>
    </row>
    <row r="7" spans="3:13" x14ac:dyDescent="0.25">
      <c r="C7" s="18" t="s">
        <v>212</v>
      </c>
      <c r="D7" s="21">
        <v>16211009</v>
      </c>
      <c r="E7" t="str">
        <f t="shared" si="0"/>
        <v>EDWIN ISAI</v>
      </c>
      <c r="F7" t="str">
        <f t="shared" si="1"/>
        <v>EK</v>
      </c>
      <c r="G7" t="str">
        <f t="shared" si="2"/>
        <v>EB</v>
      </c>
      <c r="H7" t="s">
        <v>22</v>
      </c>
      <c r="J7">
        <v>2</v>
      </c>
    </row>
    <row r="8" spans="3:13" x14ac:dyDescent="0.25">
      <c r="C8" s="18" t="s">
        <v>213</v>
      </c>
      <c r="D8" s="21">
        <v>16211010</v>
      </c>
      <c r="E8" t="str">
        <f t="shared" si="0"/>
        <v>EDDIEL ABRAHAM</v>
      </c>
      <c r="F8" t="str">
        <f t="shared" si="1"/>
        <v>EK</v>
      </c>
      <c r="G8" t="str">
        <f t="shared" si="2"/>
        <v>MAY</v>
      </c>
      <c r="H8" t="s">
        <v>22</v>
      </c>
      <c r="J8">
        <v>2</v>
      </c>
    </row>
    <row r="9" spans="3:13" x14ac:dyDescent="0.25">
      <c r="C9" s="18" t="s">
        <v>214</v>
      </c>
      <c r="D9" s="21">
        <v>16211011</v>
      </c>
      <c r="E9" t="str">
        <f t="shared" si="0"/>
        <v>YESSICA NATALY</v>
      </c>
      <c r="F9" t="str">
        <f t="shared" si="1"/>
        <v>JIMENEZ</v>
      </c>
      <c r="G9" t="str">
        <f t="shared" si="2"/>
        <v>PECH</v>
      </c>
      <c r="H9" t="s">
        <v>22</v>
      </c>
      <c r="J9">
        <v>2</v>
      </c>
    </row>
    <row r="10" spans="3:13" x14ac:dyDescent="0.25">
      <c r="C10" s="22" t="s">
        <v>215</v>
      </c>
      <c r="D10" s="21">
        <v>16211012</v>
      </c>
      <c r="E10" t="str">
        <f t="shared" si="0"/>
        <v>JOSUE HILARIO</v>
      </c>
      <c r="F10" t="str">
        <f t="shared" si="1"/>
        <v>KUK</v>
      </c>
      <c r="G10" t="str">
        <f t="shared" si="2"/>
        <v>CHAN</v>
      </c>
      <c r="H10" t="s">
        <v>22</v>
      </c>
      <c r="J10">
        <v>2</v>
      </c>
    </row>
    <row r="11" spans="3:13" x14ac:dyDescent="0.25">
      <c r="C11" s="18" t="s">
        <v>216</v>
      </c>
      <c r="D11" s="21">
        <v>16211013</v>
      </c>
      <c r="E11" t="str">
        <f t="shared" si="0"/>
        <v>EUNICE SARAI</v>
      </c>
      <c r="F11" t="str">
        <f t="shared" si="1"/>
        <v>LLANES</v>
      </c>
      <c r="G11" t="str">
        <f t="shared" si="2"/>
        <v>CANUL</v>
      </c>
      <c r="H11" t="s">
        <v>22</v>
      </c>
      <c r="J11">
        <v>2</v>
      </c>
    </row>
    <row r="12" spans="3:13" x14ac:dyDescent="0.25">
      <c r="C12" s="18" t="s">
        <v>217</v>
      </c>
      <c r="D12" s="21">
        <v>16211015</v>
      </c>
      <c r="E12" t="str">
        <f t="shared" si="0"/>
        <v>JULIA BEATRIZ</v>
      </c>
      <c r="F12" t="str">
        <f t="shared" si="1"/>
        <v>MIS</v>
      </c>
      <c r="G12" t="str">
        <f t="shared" si="2"/>
        <v>HAU</v>
      </c>
      <c r="H12" t="s">
        <v>22</v>
      </c>
      <c r="J12">
        <v>2</v>
      </c>
    </row>
    <row r="13" spans="3:13" x14ac:dyDescent="0.25">
      <c r="C13" s="18" t="s">
        <v>218</v>
      </c>
      <c r="D13" s="21">
        <v>16211017</v>
      </c>
      <c r="E13" t="str">
        <f t="shared" si="0"/>
        <v>EK ARELY MARGARITA</v>
      </c>
      <c r="F13" t="str">
        <f t="shared" si="1"/>
        <v>MORENO</v>
      </c>
      <c r="G13" t="str">
        <f t="shared" si="2"/>
        <v>EK</v>
      </c>
      <c r="H13" t="s">
        <v>22</v>
      </c>
      <c r="J13">
        <v>2</v>
      </c>
    </row>
    <row r="14" spans="3:13" x14ac:dyDescent="0.25">
      <c r="C14" s="23" t="s">
        <v>219</v>
      </c>
      <c r="D14" s="21">
        <v>16211018</v>
      </c>
      <c r="E14" t="str">
        <f t="shared" si="0"/>
        <v xml:space="preserve">PEDRO JOAQUIN </v>
      </c>
      <c r="F14" t="str">
        <f t="shared" si="1"/>
        <v>NAVARRETE</v>
      </c>
      <c r="G14" t="str">
        <f t="shared" si="2"/>
        <v>TUN</v>
      </c>
      <c r="H14" t="s">
        <v>22</v>
      </c>
      <c r="J14">
        <v>2</v>
      </c>
    </row>
    <row r="15" spans="3:13" x14ac:dyDescent="0.25">
      <c r="C15" s="23" t="s">
        <v>220</v>
      </c>
      <c r="D15" s="21">
        <v>16211019</v>
      </c>
      <c r="E15" t="str">
        <f t="shared" si="0"/>
        <v>ANDRES JEREMIAS</v>
      </c>
      <c r="F15" t="str">
        <f t="shared" si="1"/>
        <v>NOH</v>
      </c>
      <c r="G15" t="str">
        <f t="shared" si="2"/>
        <v>CHABLE</v>
      </c>
      <c r="H15" t="s">
        <v>22</v>
      </c>
      <c r="J15">
        <v>2</v>
      </c>
    </row>
    <row r="16" spans="3:13" x14ac:dyDescent="0.25">
      <c r="C16" s="23" t="s">
        <v>221</v>
      </c>
      <c r="D16" s="21">
        <v>16211020</v>
      </c>
      <c r="E16" t="str">
        <f t="shared" si="0"/>
        <v>ISSAC NOLBERTO</v>
      </c>
      <c r="F16" t="str">
        <f t="shared" si="1"/>
        <v>PACHECO</v>
      </c>
      <c r="G16" t="str">
        <f t="shared" si="2"/>
        <v>EK</v>
      </c>
      <c r="H16" t="s">
        <v>22</v>
      </c>
      <c r="J16">
        <v>2</v>
      </c>
    </row>
    <row r="17" spans="3:10" x14ac:dyDescent="0.25">
      <c r="C17" s="23" t="s">
        <v>222</v>
      </c>
      <c r="D17" s="21">
        <v>16211021</v>
      </c>
      <c r="E17" t="str">
        <f t="shared" si="0"/>
        <v>ALEJANDRO DE JESUS</v>
      </c>
      <c r="F17" t="str">
        <f t="shared" si="1"/>
        <v>PECH</v>
      </c>
      <c r="G17" t="str">
        <f t="shared" si="2"/>
        <v>CHAN</v>
      </c>
      <c r="H17" t="s">
        <v>22</v>
      </c>
      <c r="J17">
        <v>2</v>
      </c>
    </row>
    <row r="18" spans="3:10" x14ac:dyDescent="0.25">
      <c r="C18" s="23" t="s">
        <v>223</v>
      </c>
      <c r="D18" s="21">
        <v>16211022</v>
      </c>
      <c r="E18" t="str">
        <f t="shared" si="0"/>
        <v>JUAN CARLOS</v>
      </c>
      <c r="F18" t="str">
        <f t="shared" si="1"/>
        <v>PECH</v>
      </c>
      <c r="G18" t="str">
        <f t="shared" si="2"/>
        <v>ESTRELLA</v>
      </c>
      <c r="H18" t="s">
        <v>22</v>
      </c>
      <c r="J18">
        <v>2</v>
      </c>
    </row>
    <row r="19" spans="3:10" x14ac:dyDescent="0.25">
      <c r="C19" s="23" t="s">
        <v>224</v>
      </c>
      <c r="D19" s="21">
        <v>16211023</v>
      </c>
      <c r="E19" t="str">
        <f t="shared" si="0"/>
        <v>FRANCISCO DAVID</v>
      </c>
      <c r="F19" t="str">
        <f t="shared" si="1"/>
        <v>PECH</v>
      </c>
      <c r="G19" t="str">
        <f t="shared" si="2"/>
        <v>KU</v>
      </c>
      <c r="H19" t="s">
        <v>22</v>
      </c>
      <c r="J19">
        <v>2</v>
      </c>
    </row>
    <row r="20" spans="3:10" x14ac:dyDescent="0.25">
      <c r="C20" s="23" t="s">
        <v>225</v>
      </c>
      <c r="D20" s="21">
        <v>16211024</v>
      </c>
      <c r="E20" t="str">
        <f t="shared" si="0"/>
        <v>DAYANNE ALEJANDRA</v>
      </c>
      <c r="F20" t="str">
        <f t="shared" si="1"/>
        <v>RODRIGUEZ</v>
      </c>
      <c r="G20" t="str">
        <f t="shared" si="2"/>
        <v>MEZQUITA</v>
      </c>
      <c r="H20" t="s">
        <v>22</v>
      </c>
      <c r="J20">
        <v>2</v>
      </c>
    </row>
    <row r="21" spans="3:10" x14ac:dyDescent="0.25">
      <c r="C21" s="23" t="s">
        <v>226</v>
      </c>
      <c r="D21" s="21">
        <v>16211025</v>
      </c>
      <c r="E21" t="str">
        <f t="shared" si="0"/>
        <v>JOAQUIN ADRIAN</v>
      </c>
      <c r="F21" t="str">
        <f t="shared" si="1"/>
        <v>TORRES</v>
      </c>
      <c r="G21" t="str">
        <f t="shared" si="2"/>
        <v>UC</v>
      </c>
      <c r="H21" t="s">
        <v>22</v>
      </c>
      <c r="J21">
        <v>2</v>
      </c>
    </row>
    <row r="22" spans="3:10" x14ac:dyDescent="0.25">
      <c r="C22" s="23" t="s">
        <v>227</v>
      </c>
      <c r="D22" s="21">
        <v>16211026</v>
      </c>
      <c r="E22" t="str">
        <f t="shared" si="0"/>
        <v>IUIT TOMAS MARTINIANO</v>
      </c>
      <c r="F22" t="str">
        <f t="shared" si="1"/>
        <v>TUN</v>
      </c>
      <c r="G22" t="str">
        <f t="shared" si="2"/>
        <v>IUIT</v>
      </c>
      <c r="H22" t="s">
        <v>22</v>
      </c>
      <c r="J22">
        <v>2</v>
      </c>
    </row>
    <row r="23" spans="3:10" x14ac:dyDescent="0.25">
      <c r="C23" s="23" t="s">
        <v>228</v>
      </c>
      <c r="D23" s="21">
        <v>16211027</v>
      </c>
      <c r="E23" t="str">
        <f t="shared" si="0"/>
        <v>JHOSMAR MAXIMO</v>
      </c>
      <c r="F23" t="str">
        <f t="shared" si="1"/>
        <v>TZUC</v>
      </c>
      <c r="G23" t="str">
        <f t="shared" si="2"/>
        <v>UICAB</v>
      </c>
      <c r="H23" t="s">
        <v>22</v>
      </c>
      <c r="J23">
        <v>2</v>
      </c>
    </row>
    <row r="24" spans="3:10" x14ac:dyDescent="0.25">
      <c r="C24" s="23" t="s">
        <v>229</v>
      </c>
      <c r="D24" s="21">
        <v>16211028</v>
      </c>
      <c r="E24" t="str">
        <f t="shared" si="0"/>
        <v>CARLOS MANUEL</v>
      </c>
      <c r="F24" t="str">
        <f t="shared" si="1"/>
        <v>XEQUE</v>
      </c>
      <c r="G24" t="str">
        <f t="shared" si="2"/>
        <v>PECH</v>
      </c>
      <c r="H24" t="s">
        <v>22</v>
      </c>
      <c r="J24">
        <v>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B1:M24"/>
  <sheetViews>
    <sheetView workbookViewId="0">
      <selection activeCell="D2" sqref="D2:M20"/>
    </sheetView>
  </sheetViews>
  <sheetFormatPr baseColWidth="10" defaultRowHeight="15" x14ac:dyDescent="0.25"/>
  <cols>
    <col min="2" max="2" width="10.5703125" customWidth="1"/>
    <col min="3" max="3" width="35.28515625" customWidth="1"/>
    <col min="5" max="5" width="24.5703125" customWidth="1"/>
    <col min="8" max="8" width="9.42578125" customWidth="1"/>
    <col min="9" max="9" width="5" customWidth="1"/>
    <col min="12" max="13" width="4.28515625" customWidth="1"/>
  </cols>
  <sheetData>
    <row r="1" spans="2:13" x14ac:dyDescent="0.25">
      <c r="D1" t="s">
        <v>0</v>
      </c>
      <c r="E1" t="s">
        <v>2</v>
      </c>
      <c r="F1" t="s">
        <v>34</v>
      </c>
      <c r="G1" t="s">
        <v>4</v>
      </c>
      <c r="H1" t="s">
        <v>230</v>
      </c>
      <c r="I1" t="s">
        <v>231</v>
      </c>
      <c r="J1" t="s">
        <v>232</v>
      </c>
      <c r="K1" t="s">
        <v>233</v>
      </c>
      <c r="L1" t="s">
        <v>234</v>
      </c>
      <c r="M1" t="s">
        <v>235</v>
      </c>
    </row>
    <row r="2" spans="2:13" x14ac:dyDescent="0.25">
      <c r="B2" s="24">
        <v>16321031</v>
      </c>
      <c r="C2" s="18" t="s">
        <v>236</v>
      </c>
      <c r="D2" s="24">
        <v>16321031</v>
      </c>
      <c r="E2" t="str">
        <f>ExtraeNom(C2)</f>
        <v>PENIEL SINAI</v>
      </c>
      <c r="F2" t="str">
        <f>ApePat(C2)</f>
        <v>CAN</v>
      </c>
      <c r="G2" t="str">
        <f>ApeMat(C2)</f>
        <v>EK</v>
      </c>
      <c r="H2" t="s">
        <v>36</v>
      </c>
      <c r="J2">
        <v>2</v>
      </c>
      <c r="K2" t="s">
        <v>255</v>
      </c>
    </row>
    <row r="3" spans="2:13" x14ac:dyDescent="0.25">
      <c r="B3" s="24">
        <v>16321033</v>
      </c>
      <c r="C3" s="18" t="s">
        <v>237</v>
      </c>
      <c r="D3" s="24">
        <v>16321033</v>
      </c>
      <c r="E3" t="str">
        <f t="shared" ref="E3:E20" si="0">ExtraeNom(C3)</f>
        <v>MARIANA ANGELICA</v>
      </c>
      <c r="F3" t="str">
        <f t="shared" ref="F3:F20" si="1">ApePat(C3)</f>
        <v>CANCHE</v>
      </c>
      <c r="G3" t="str">
        <f t="shared" ref="G3:G20" si="2">ApeMat(C3)</f>
        <v>MAY</v>
      </c>
      <c r="H3" t="s">
        <v>36</v>
      </c>
      <c r="J3">
        <v>2</v>
      </c>
      <c r="K3" t="s">
        <v>255</v>
      </c>
    </row>
    <row r="4" spans="2:13" x14ac:dyDescent="0.25">
      <c r="B4" s="24">
        <v>16321035</v>
      </c>
      <c r="C4" s="18" t="s">
        <v>238</v>
      </c>
      <c r="D4" s="24">
        <v>16321035</v>
      </c>
      <c r="E4" t="str">
        <f t="shared" si="0"/>
        <v>XEILA GUADALUPE</v>
      </c>
      <c r="F4" t="str">
        <f t="shared" si="1"/>
        <v>CANCHE</v>
      </c>
      <c r="G4" t="str">
        <f t="shared" si="2"/>
        <v>YAMA</v>
      </c>
      <c r="H4" t="s">
        <v>36</v>
      </c>
      <c r="J4">
        <v>2</v>
      </c>
      <c r="K4" t="s">
        <v>255</v>
      </c>
    </row>
    <row r="5" spans="2:13" x14ac:dyDescent="0.25">
      <c r="B5" s="24">
        <v>16321037</v>
      </c>
      <c r="C5" s="18" t="s">
        <v>239</v>
      </c>
      <c r="D5" s="24">
        <v>16321037</v>
      </c>
      <c r="E5" t="str">
        <f t="shared" si="0"/>
        <v>JESUS ROBERTO</v>
      </c>
      <c r="F5" t="str">
        <f t="shared" si="1"/>
        <v>CATZIM</v>
      </c>
      <c r="G5" t="str">
        <f t="shared" si="2"/>
        <v>MENDOZA</v>
      </c>
      <c r="H5" t="s">
        <v>36</v>
      </c>
      <c r="J5">
        <v>2</v>
      </c>
      <c r="K5" t="s">
        <v>255</v>
      </c>
    </row>
    <row r="6" spans="2:13" x14ac:dyDescent="0.25">
      <c r="B6" s="24">
        <v>16321039</v>
      </c>
      <c r="C6" s="18" t="s">
        <v>240</v>
      </c>
      <c r="D6" s="24">
        <v>16321039</v>
      </c>
      <c r="E6" t="str">
        <f t="shared" si="0"/>
        <v>GEIDY ROCIO</v>
      </c>
      <c r="F6" t="str">
        <f t="shared" si="1"/>
        <v>CHAN</v>
      </c>
      <c r="G6" t="str">
        <f t="shared" si="2"/>
        <v>PAT</v>
      </c>
      <c r="H6" t="s">
        <v>36</v>
      </c>
      <c r="J6">
        <v>2</v>
      </c>
      <c r="K6" t="s">
        <v>255</v>
      </c>
    </row>
    <row r="7" spans="2:13" x14ac:dyDescent="0.25">
      <c r="B7" s="24">
        <v>16321043</v>
      </c>
      <c r="C7" s="18" t="s">
        <v>241</v>
      </c>
      <c r="D7" s="24">
        <v>16321043</v>
      </c>
      <c r="E7" t="str">
        <f t="shared" si="0"/>
        <v>SUSAN RUBI</v>
      </c>
      <c r="F7" t="str">
        <f t="shared" si="1"/>
        <v>DZIB</v>
      </c>
      <c r="G7" t="str">
        <f t="shared" si="2"/>
        <v>PECH</v>
      </c>
      <c r="H7" t="s">
        <v>36</v>
      </c>
      <c r="J7">
        <v>2</v>
      </c>
      <c r="K7" t="s">
        <v>255</v>
      </c>
    </row>
    <row r="8" spans="2:13" x14ac:dyDescent="0.25">
      <c r="B8" s="24">
        <v>16321046</v>
      </c>
      <c r="C8" s="18" t="s">
        <v>242</v>
      </c>
      <c r="D8" s="24">
        <v>16321046</v>
      </c>
      <c r="E8" t="str">
        <f t="shared" si="0"/>
        <v>PAT LEYDI KARINA</v>
      </c>
      <c r="F8" t="str">
        <f t="shared" si="1"/>
        <v>EK</v>
      </c>
      <c r="G8" t="str">
        <f t="shared" si="2"/>
        <v>PAT</v>
      </c>
      <c r="H8" t="s">
        <v>36</v>
      </c>
      <c r="J8">
        <v>2</v>
      </c>
      <c r="K8" t="s">
        <v>255</v>
      </c>
    </row>
    <row r="9" spans="2:13" x14ac:dyDescent="0.25">
      <c r="B9" s="24">
        <v>16321047</v>
      </c>
      <c r="C9" s="18" t="s">
        <v>243</v>
      </c>
      <c r="D9" s="24">
        <v>16321047</v>
      </c>
      <c r="E9" t="str">
        <f t="shared" si="0"/>
        <v>JUAN RICARDO</v>
      </c>
      <c r="F9" t="str">
        <f t="shared" si="1"/>
        <v>ESCOBEDO</v>
      </c>
      <c r="G9" t="str">
        <f t="shared" si="2"/>
        <v>HERRERA</v>
      </c>
      <c r="H9" t="s">
        <v>36</v>
      </c>
      <c r="J9">
        <v>2</v>
      </c>
      <c r="K9" t="s">
        <v>255</v>
      </c>
    </row>
    <row r="10" spans="2:13" x14ac:dyDescent="0.25">
      <c r="B10" s="24">
        <v>16321049</v>
      </c>
      <c r="C10" s="23" t="s">
        <v>244</v>
      </c>
      <c r="D10" s="24">
        <v>16321049</v>
      </c>
      <c r="E10" t="str">
        <f t="shared" si="0"/>
        <v>CHRISTOPHER NEFTALI</v>
      </c>
      <c r="F10" t="str">
        <f t="shared" si="1"/>
        <v>HU</v>
      </c>
      <c r="G10" t="str">
        <f t="shared" si="2"/>
        <v>OXTE</v>
      </c>
      <c r="H10" t="s">
        <v>36</v>
      </c>
      <c r="J10">
        <v>2</v>
      </c>
      <c r="K10" t="s">
        <v>255</v>
      </c>
    </row>
    <row r="11" spans="2:13" x14ac:dyDescent="0.25">
      <c r="B11" s="24">
        <v>16321051</v>
      </c>
      <c r="C11" s="18" t="s">
        <v>245</v>
      </c>
      <c r="D11" s="24">
        <v>16321051</v>
      </c>
      <c r="E11" t="str">
        <f t="shared" si="0"/>
        <v>JESUS EMMANUEL</v>
      </c>
      <c r="F11" t="str">
        <f t="shared" si="1"/>
        <v>KUK</v>
      </c>
      <c r="G11" t="str">
        <f t="shared" si="2"/>
        <v>LUGO</v>
      </c>
      <c r="H11" t="s">
        <v>36</v>
      </c>
      <c r="J11">
        <v>2</v>
      </c>
      <c r="K11" t="s">
        <v>255</v>
      </c>
    </row>
    <row r="12" spans="2:13" x14ac:dyDescent="0.25">
      <c r="B12" s="24">
        <v>16321053</v>
      </c>
      <c r="C12" s="18" t="s">
        <v>246</v>
      </c>
      <c r="D12" s="24">
        <v>16321053</v>
      </c>
      <c r="E12" t="str">
        <f t="shared" si="0"/>
        <v>FRIDA ISAURA</v>
      </c>
      <c r="F12" t="str">
        <f t="shared" si="1"/>
        <v>MASSA</v>
      </c>
      <c r="G12" t="str">
        <f t="shared" si="2"/>
        <v>LEAL</v>
      </c>
      <c r="H12" t="s">
        <v>36</v>
      </c>
      <c r="J12">
        <v>2</v>
      </c>
      <c r="K12" t="s">
        <v>255</v>
      </c>
    </row>
    <row r="13" spans="2:13" x14ac:dyDescent="0.25">
      <c r="B13" s="24">
        <v>16321055</v>
      </c>
      <c r="C13" s="18" t="s">
        <v>247</v>
      </c>
      <c r="D13" s="24">
        <v>16321055</v>
      </c>
      <c r="E13" t="str">
        <f t="shared" si="0"/>
        <v>ADIEL GAMALIEL</v>
      </c>
      <c r="F13" t="str">
        <f t="shared" si="1"/>
        <v>MAY</v>
      </c>
      <c r="G13" t="str">
        <f t="shared" si="2"/>
        <v>SOLIS</v>
      </c>
      <c r="H13" t="s">
        <v>36</v>
      </c>
      <c r="J13">
        <v>2</v>
      </c>
      <c r="K13" t="s">
        <v>255</v>
      </c>
    </row>
    <row r="14" spans="2:13" x14ac:dyDescent="0.25">
      <c r="B14" s="24">
        <v>16321059</v>
      </c>
      <c r="C14" s="18" t="s">
        <v>248</v>
      </c>
      <c r="D14" s="24">
        <v>16321059</v>
      </c>
      <c r="E14" t="str">
        <f t="shared" si="0"/>
        <v>MERARI ARIDAI</v>
      </c>
      <c r="F14" t="str">
        <f t="shared" si="1"/>
        <v>NOH</v>
      </c>
      <c r="G14" t="str">
        <f t="shared" si="2"/>
        <v>CABRERA</v>
      </c>
      <c r="H14" t="s">
        <v>36</v>
      </c>
      <c r="J14">
        <v>2</v>
      </c>
      <c r="K14" t="s">
        <v>255</v>
      </c>
    </row>
    <row r="15" spans="2:13" x14ac:dyDescent="0.25">
      <c r="B15" s="24">
        <v>16321065</v>
      </c>
      <c r="C15" s="23" t="s">
        <v>249</v>
      </c>
      <c r="D15" s="24">
        <v>16321065</v>
      </c>
      <c r="E15" t="str">
        <f t="shared" si="0"/>
        <v>ERIK JADIEL</v>
      </c>
      <c r="F15" t="str">
        <f t="shared" si="1"/>
        <v>REJON</v>
      </c>
      <c r="G15" t="str">
        <f t="shared" si="2"/>
        <v>PECH</v>
      </c>
      <c r="H15" t="s">
        <v>36</v>
      </c>
      <c r="J15">
        <v>2</v>
      </c>
      <c r="K15" t="s">
        <v>255</v>
      </c>
    </row>
    <row r="16" spans="2:13" x14ac:dyDescent="0.25">
      <c r="B16" s="24">
        <v>16321067</v>
      </c>
      <c r="C16" s="23" t="s">
        <v>250</v>
      </c>
      <c r="D16" s="24">
        <v>16321067</v>
      </c>
      <c r="E16" t="str">
        <f t="shared" si="0"/>
        <v>MARITERE</v>
      </c>
      <c r="F16" t="str">
        <f t="shared" si="1"/>
        <v>SARAS</v>
      </c>
      <c r="G16" t="str">
        <f t="shared" si="2"/>
        <v>COHUO</v>
      </c>
      <c r="H16" t="s">
        <v>36</v>
      </c>
      <c r="J16">
        <v>2</v>
      </c>
      <c r="K16" t="s">
        <v>255</v>
      </c>
    </row>
    <row r="17" spans="2:11" x14ac:dyDescent="0.25">
      <c r="B17" s="24">
        <v>16321069</v>
      </c>
      <c r="C17" s="23" t="s">
        <v>251</v>
      </c>
      <c r="D17" s="24">
        <v>16321069</v>
      </c>
      <c r="E17" t="str">
        <f t="shared" si="0"/>
        <v>CANUL VIANEY DEL CARMEN</v>
      </c>
      <c r="F17" t="str">
        <f t="shared" si="1"/>
        <v>TEC</v>
      </c>
      <c r="G17" t="str">
        <f t="shared" si="2"/>
        <v>CANUL</v>
      </c>
      <c r="H17" t="s">
        <v>36</v>
      </c>
      <c r="J17">
        <v>2</v>
      </c>
      <c r="K17" t="s">
        <v>255</v>
      </c>
    </row>
    <row r="18" spans="2:11" x14ac:dyDescent="0.25">
      <c r="B18" s="24">
        <v>16321071</v>
      </c>
      <c r="C18" s="23" t="s">
        <v>252</v>
      </c>
      <c r="D18" s="24">
        <v>16321071</v>
      </c>
      <c r="E18" t="str">
        <f t="shared" si="0"/>
        <v>LESLY SARAI</v>
      </c>
      <c r="F18" t="str">
        <f t="shared" si="1"/>
        <v>TUZ</v>
      </c>
      <c r="G18" t="str">
        <f t="shared" si="2"/>
        <v>TEC</v>
      </c>
      <c r="H18" t="s">
        <v>36</v>
      </c>
      <c r="J18">
        <v>2</v>
      </c>
      <c r="K18" t="s">
        <v>255</v>
      </c>
    </row>
    <row r="19" spans="2:11" x14ac:dyDescent="0.25">
      <c r="B19" s="24">
        <v>16321073</v>
      </c>
      <c r="C19" s="23" t="s">
        <v>253</v>
      </c>
      <c r="D19" s="24">
        <v>16321073</v>
      </c>
      <c r="E19" t="str">
        <f t="shared" si="0"/>
        <v>JOSE MIGUEL</v>
      </c>
      <c r="F19" t="str">
        <f t="shared" si="1"/>
        <v>UICAB</v>
      </c>
      <c r="G19" t="str">
        <f t="shared" si="2"/>
        <v>CANCHE</v>
      </c>
      <c r="H19" t="s">
        <v>36</v>
      </c>
      <c r="J19">
        <v>2</v>
      </c>
      <c r="K19" t="s">
        <v>255</v>
      </c>
    </row>
    <row r="20" spans="2:11" x14ac:dyDescent="0.25">
      <c r="B20" s="24">
        <v>16321075</v>
      </c>
      <c r="C20" s="23" t="s">
        <v>254</v>
      </c>
      <c r="D20" s="24">
        <v>16321075</v>
      </c>
      <c r="E20" t="str">
        <f t="shared" si="0"/>
        <v>PERLA</v>
      </c>
      <c r="F20" t="str">
        <f t="shared" si="1"/>
        <v>XOCHIPA</v>
      </c>
      <c r="G20" t="str">
        <f t="shared" si="2"/>
        <v>AKE</v>
      </c>
      <c r="H20" t="s">
        <v>36</v>
      </c>
      <c r="J20">
        <v>2</v>
      </c>
      <c r="K20" t="s">
        <v>255</v>
      </c>
    </row>
    <row r="21" spans="2:11" x14ac:dyDescent="0.25">
      <c r="C21" s="23"/>
      <c r="D21" s="21"/>
    </row>
    <row r="22" spans="2:11" x14ac:dyDescent="0.25">
      <c r="C22" s="23"/>
      <c r="D22" s="21"/>
    </row>
    <row r="23" spans="2:11" x14ac:dyDescent="0.25">
      <c r="C23" s="23"/>
      <c r="D23" s="21"/>
    </row>
    <row r="24" spans="2:11" x14ac:dyDescent="0.25">
      <c r="C24" s="23"/>
      <c r="D24" s="21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/>
  <dimension ref="B1:N24"/>
  <sheetViews>
    <sheetView topLeftCell="A3" workbookViewId="0">
      <selection activeCell="G23" sqref="G23"/>
    </sheetView>
  </sheetViews>
  <sheetFormatPr baseColWidth="10" defaultRowHeight="15" x14ac:dyDescent="0.25"/>
  <cols>
    <col min="2" max="2" width="10.5703125" customWidth="1"/>
    <col min="3" max="3" width="35.28515625" customWidth="1"/>
    <col min="5" max="5" width="24.5703125" customWidth="1"/>
    <col min="8" max="8" width="9.42578125" customWidth="1"/>
    <col min="9" max="9" width="5" customWidth="1"/>
    <col min="12" max="13" width="4.28515625" customWidth="1"/>
  </cols>
  <sheetData>
    <row r="1" spans="2:14" ht="15.75" thickBot="1" x14ac:dyDescent="0.3">
      <c r="D1" t="s">
        <v>0</v>
      </c>
      <c r="E1" t="s">
        <v>2</v>
      </c>
      <c r="F1" t="s">
        <v>34</v>
      </c>
      <c r="G1" t="s">
        <v>4</v>
      </c>
      <c r="H1" t="s">
        <v>230</v>
      </c>
      <c r="I1" t="s">
        <v>231</v>
      </c>
      <c r="J1" t="s">
        <v>232</v>
      </c>
      <c r="K1" t="s">
        <v>233</v>
      </c>
      <c r="L1" t="s">
        <v>234</v>
      </c>
      <c r="M1" t="s">
        <v>235</v>
      </c>
    </row>
    <row r="2" spans="2:14" x14ac:dyDescent="0.25">
      <c r="B2" s="25">
        <v>16321030</v>
      </c>
      <c r="C2" s="16" t="s">
        <v>256</v>
      </c>
      <c r="D2" s="24">
        <f>B2</f>
        <v>16321030</v>
      </c>
      <c r="E2" t="str">
        <f>ExtraeNom(C2)</f>
        <v>ZELTSIN NICHOLLE</v>
      </c>
      <c r="F2" t="str">
        <f>ApePat(C2)</f>
        <v>AKE</v>
      </c>
      <c r="G2" t="str">
        <f>ApeMat(C2)</f>
        <v>BAAS</v>
      </c>
      <c r="H2" t="s">
        <v>36</v>
      </c>
      <c r="J2">
        <v>2</v>
      </c>
      <c r="K2" t="s">
        <v>272</v>
      </c>
      <c r="N2" t="str">
        <f>ApePat(C2)</f>
        <v>AKE</v>
      </c>
    </row>
    <row r="3" spans="2:14" x14ac:dyDescent="0.25">
      <c r="B3" s="26">
        <v>16321032</v>
      </c>
      <c r="C3" s="18" t="s">
        <v>257</v>
      </c>
      <c r="D3" s="24">
        <f t="shared" ref="D3:D17" si="0">B3</f>
        <v>16321032</v>
      </c>
      <c r="E3" t="str">
        <f t="shared" ref="E3:E17" si="1">ExtraeNom(C3)</f>
        <v>LIDIA SARAI</v>
      </c>
      <c r="F3" t="str">
        <f t="shared" ref="F3:F17" si="2">ApePat(C3)</f>
        <v>CANCHE</v>
      </c>
      <c r="G3" t="str">
        <f t="shared" ref="G3:G17" si="3">ApeMat(C3)</f>
        <v>CARDENAS</v>
      </c>
      <c r="H3" t="s">
        <v>36</v>
      </c>
      <c r="J3">
        <v>2</v>
      </c>
      <c r="K3" t="s">
        <v>272</v>
      </c>
    </row>
    <row r="4" spans="2:14" x14ac:dyDescent="0.25">
      <c r="B4" s="26">
        <v>16321036</v>
      </c>
      <c r="C4" s="18" t="s">
        <v>258</v>
      </c>
      <c r="D4" s="24">
        <f t="shared" si="0"/>
        <v>16321036</v>
      </c>
      <c r="E4" t="str">
        <f t="shared" si="1"/>
        <v>DELMI ANGELICA</v>
      </c>
      <c r="F4" t="str">
        <f t="shared" si="2"/>
        <v>CANUL</v>
      </c>
      <c r="G4" t="str">
        <f t="shared" si="3"/>
        <v>TEC</v>
      </c>
      <c r="H4" t="s">
        <v>36</v>
      </c>
      <c r="J4">
        <v>2</v>
      </c>
      <c r="K4" t="s">
        <v>272</v>
      </c>
    </row>
    <row r="5" spans="2:14" x14ac:dyDescent="0.25">
      <c r="B5" s="26">
        <v>16321038</v>
      </c>
      <c r="C5" s="18" t="s">
        <v>259</v>
      </c>
      <c r="D5" s="24">
        <f t="shared" si="0"/>
        <v>16321038</v>
      </c>
      <c r="E5" t="str">
        <f t="shared" si="1"/>
        <v>YAREMI YARETH</v>
      </c>
      <c r="F5" t="str">
        <f t="shared" si="2"/>
        <v>CHAN</v>
      </c>
      <c r="G5" t="str">
        <f t="shared" si="3"/>
        <v>EK</v>
      </c>
      <c r="H5" t="s">
        <v>36</v>
      </c>
      <c r="J5">
        <v>2</v>
      </c>
      <c r="K5" t="s">
        <v>272</v>
      </c>
    </row>
    <row r="6" spans="2:14" x14ac:dyDescent="0.25">
      <c r="B6" s="26">
        <v>16321040</v>
      </c>
      <c r="C6" s="18" t="s">
        <v>260</v>
      </c>
      <c r="D6" s="24">
        <f t="shared" si="0"/>
        <v>16321040</v>
      </c>
      <c r="E6" t="str">
        <f t="shared" si="1"/>
        <v>MARITERE DE JESUS</v>
      </c>
      <c r="F6" t="str">
        <f t="shared" si="2"/>
        <v>CHUC</v>
      </c>
      <c r="G6" t="str">
        <f t="shared" si="3"/>
        <v>DOMINGUEZ</v>
      </c>
      <c r="H6" t="s">
        <v>36</v>
      </c>
      <c r="J6">
        <v>2</v>
      </c>
      <c r="K6" t="s">
        <v>272</v>
      </c>
    </row>
    <row r="7" spans="2:14" x14ac:dyDescent="0.25">
      <c r="B7" s="26">
        <v>16321045</v>
      </c>
      <c r="C7" s="18" t="s">
        <v>261</v>
      </c>
      <c r="D7" s="24">
        <f t="shared" si="0"/>
        <v>16321045</v>
      </c>
      <c r="E7" t="str">
        <f t="shared" si="1"/>
        <v>HERMENEGILDA CONCEPCION</v>
      </c>
      <c r="F7" t="str">
        <f t="shared" si="2"/>
        <v>EK</v>
      </c>
      <c r="G7" t="str">
        <f t="shared" si="3"/>
        <v>EK</v>
      </c>
      <c r="H7" t="s">
        <v>36</v>
      </c>
      <c r="J7">
        <v>2</v>
      </c>
      <c r="K7" t="s">
        <v>272</v>
      </c>
    </row>
    <row r="8" spans="2:14" x14ac:dyDescent="0.25">
      <c r="B8" s="26">
        <v>16321048</v>
      </c>
      <c r="C8" s="18" t="s">
        <v>262</v>
      </c>
      <c r="D8" s="24">
        <f t="shared" si="0"/>
        <v>16321048</v>
      </c>
      <c r="E8" t="str">
        <f t="shared" si="1"/>
        <v>MATEO ABEL</v>
      </c>
      <c r="F8" t="str">
        <f t="shared" si="2"/>
        <v>FRANCO</v>
      </c>
      <c r="G8" t="str">
        <f t="shared" si="3"/>
        <v>PUERTO</v>
      </c>
      <c r="H8" t="s">
        <v>36</v>
      </c>
      <c r="J8">
        <v>2</v>
      </c>
      <c r="K8" t="s">
        <v>272</v>
      </c>
    </row>
    <row r="9" spans="2:14" x14ac:dyDescent="0.25">
      <c r="B9" s="26">
        <v>16321050</v>
      </c>
      <c r="C9" s="18" t="s">
        <v>263</v>
      </c>
      <c r="D9" s="24">
        <f t="shared" si="0"/>
        <v>16321050</v>
      </c>
      <c r="E9" t="str">
        <f t="shared" si="1"/>
        <v>KAREN NAOMY</v>
      </c>
      <c r="F9" t="str">
        <f t="shared" si="2"/>
        <v>KU</v>
      </c>
      <c r="G9" t="str">
        <f t="shared" si="3"/>
        <v>DZUL</v>
      </c>
      <c r="H9" t="s">
        <v>36</v>
      </c>
      <c r="J9">
        <v>2</v>
      </c>
      <c r="K9" t="s">
        <v>272</v>
      </c>
    </row>
    <row r="10" spans="2:14" x14ac:dyDescent="0.25">
      <c r="B10" s="26">
        <v>16321052</v>
      </c>
      <c r="C10" s="18" t="s">
        <v>264</v>
      </c>
      <c r="D10" s="24">
        <f t="shared" si="0"/>
        <v>16321052</v>
      </c>
      <c r="E10" t="str">
        <f t="shared" si="1"/>
        <v>FRANCISCO JAVIER</v>
      </c>
      <c r="F10" t="str">
        <f t="shared" si="2"/>
        <v>MARTINEZ</v>
      </c>
      <c r="G10" t="str">
        <f t="shared" si="3"/>
        <v>RODRIGUEZ</v>
      </c>
      <c r="H10" t="s">
        <v>36</v>
      </c>
      <c r="J10">
        <v>2</v>
      </c>
      <c r="K10" t="s">
        <v>272</v>
      </c>
    </row>
    <row r="11" spans="2:14" x14ac:dyDescent="0.25">
      <c r="B11" s="26">
        <v>16321058</v>
      </c>
      <c r="C11" s="18" t="s">
        <v>265</v>
      </c>
      <c r="D11" s="24">
        <f t="shared" si="0"/>
        <v>16321058</v>
      </c>
      <c r="E11" t="str">
        <f t="shared" si="1"/>
        <v>ROCIO GUADALUPE</v>
      </c>
      <c r="F11" t="str">
        <f t="shared" si="2"/>
        <v>MOO</v>
      </c>
      <c r="G11" t="str">
        <f t="shared" si="3"/>
        <v>UC</v>
      </c>
      <c r="H11" t="s">
        <v>36</v>
      </c>
      <c r="J11">
        <v>2</v>
      </c>
      <c r="K11" t="s">
        <v>272</v>
      </c>
    </row>
    <row r="12" spans="2:14" x14ac:dyDescent="0.25">
      <c r="B12" s="26">
        <v>16321060</v>
      </c>
      <c r="C12" s="18" t="s">
        <v>266</v>
      </c>
      <c r="D12" s="24">
        <f t="shared" si="0"/>
        <v>16321060</v>
      </c>
      <c r="E12" t="str">
        <f t="shared" si="1"/>
        <v>MARIA GUADALUPE</v>
      </c>
      <c r="F12" t="str">
        <f t="shared" si="2"/>
        <v>NOH</v>
      </c>
      <c r="G12" t="str">
        <f t="shared" si="3"/>
        <v>EK</v>
      </c>
      <c r="H12" t="s">
        <v>36</v>
      </c>
      <c r="J12">
        <v>2</v>
      </c>
      <c r="K12" t="s">
        <v>272</v>
      </c>
    </row>
    <row r="13" spans="2:14" x14ac:dyDescent="0.25">
      <c r="B13" s="26">
        <v>16321064</v>
      </c>
      <c r="C13" s="23" t="s">
        <v>267</v>
      </c>
      <c r="D13" s="24">
        <f t="shared" si="0"/>
        <v>16321064</v>
      </c>
      <c r="E13" t="str">
        <f t="shared" si="1"/>
        <v>LUISA LINETH</v>
      </c>
      <c r="F13" t="str">
        <f t="shared" si="2"/>
        <v>PUC</v>
      </c>
      <c r="G13" t="str">
        <f t="shared" si="3"/>
        <v>CHAN</v>
      </c>
      <c r="H13" t="s">
        <v>36</v>
      </c>
      <c r="J13">
        <v>2</v>
      </c>
      <c r="K13" t="s">
        <v>272</v>
      </c>
    </row>
    <row r="14" spans="2:14" x14ac:dyDescent="0.25">
      <c r="B14" s="26">
        <v>16321068</v>
      </c>
      <c r="C14" s="23" t="s">
        <v>268</v>
      </c>
      <c r="D14" s="24">
        <f t="shared" si="0"/>
        <v>16321068</v>
      </c>
      <c r="E14" t="str">
        <f t="shared" si="1"/>
        <v>KARINA NATIVIDAD</v>
      </c>
      <c r="F14" t="str">
        <f t="shared" si="2"/>
        <v>SIMA</v>
      </c>
      <c r="G14" t="str">
        <f t="shared" si="3"/>
        <v>TUYUB</v>
      </c>
      <c r="H14" t="s">
        <v>36</v>
      </c>
      <c r="J14">
        <v>2</v>
      </c>
      <c r="K14" t="s">
        <v>272</v>
      </c>
    </row>
    <row r="15" spans="2:14" x14ac:dyDescent="0.25">
      <c r="B15" s="26">
        <v>16321072</v>
      </c>
      <c r="C15" s="23" t="s">
        <v>269</v>
      </c>
      <c r="D15" s="24">
        <f t="shared" si="0"/>
        <v>16321072</v>
      </c>
      <c r="E15" t="str">
        <f t="shared" si="1"/>
        <v>MOO ERIK ALEJANDRO</v>
      </c>
      <c r="F15" t="str">
        <f t="shared" si="2"/>
        <v>UCAN</v>
      </c>
      <c r="G15" t="str">
        <f t="shared" si="3"/>
        <v>MOO</v>
      </c>
      <c r="H15" t="s">
        <v>36</v>
      </c>
      <c r="J15">
        <v>2</v>
      </c>
      <c r="K15" t="s">
        <v>272</v>
      </c>
    </row>
    <row r="16" spans="2:14" x14ac:dyDescent="0.25">
      <c r="B16" s="26">
        <v>16321074</v>
      </c>
      <c r="C16" s="23" t="s">
        <v>270</v>
      </c>
      <c r="D16" s="24">
        <f t="shared" si="0"/>
        <v>16321074</v>
      </c>
      <c r="E16" t="str">
        <f t="shared" si="1"/>
        <v>MERCY AYAMI</v>
      </c>
      <c r="F16" t="str">
        <f t="shared" si="2"/>
        <v>VALENCIA</v>
      </c>
      <c r="G16" t="str">
        <f t="shared" si="3"/>
        <v>DOMINGUEZ</v>
      </c>
      <c r="H16" t="s">
        <v>36</v>
      </c>
      <c r="J16">
        <v>2</v>
      </c>
      <c r="K16" t="s">
        <v>272</v>
      </c>
    </row>
    <row r="17" spans="2:11" x14ac:dyDescent="0.25">
      <c r="B17" s="26">
        <v>16321076</v>
      </c>
      <c r="C17" s="23" t="s">
        <v>271</v>
      </c>
      <c r="D17" s="24">
        <f t="shared" si="0"/>
        <v>16321076</v>
      </c>
      <c r="E17" t="str">
        <f t="shared" si="1"/>
        <v>ALONDRA KARINA</v>
      </c>
      <c r="F17" t="str">
        <f t="shared" si="2"/>
        <v>ZALDIVAR</v>
      </c>
      <c r="G17" t="str">
        <f t="shared" si="3"/>
        <v>OXTE</v>
      </c>
      <c r="H17" t="s">
        <v>36</v>
      </c>
      <c r="J17">
        <v>2</v>
      </c>
      <c r="K17" t="s">
        <v>272</v>
      </c>
    </row>
    <row r="18" spans="2:11" x14ac:dyDescent="0.25">
      <c r="B18" s="24"/>
      <c r="C18" s="23"/>
      <c r="D18" s="24"/>
    </row>
    <row r="19" spans="2:11" x14ac:dyDescent="0.25">
      <c r="B19" s="24"/>
      <c r="C19" s="23"/>
      <c r="D19" s="24"/>
    </row>
    <row r="20" spans="2:11" x14ac:dyDescent="0.25">
      <c r="B20" s="24"/>
      <c r="C20" s="23"/>
      <c r="D20" s="24"/>
    </row>
    <row r="21" spans="2:11" x14ac:dyDescent="0.25">
      <c r="C21" s="23"/>
      <c r="D21" s="21"/>
    </row>
    <row r="22" spans="2:11" x14ac:dyDescent="0.25">
      <c r="C22" s="23"/>
      <c r="D22" s="21"/>
      <c r="F22" t="s">
        <v>351</v>
      </c>
      <c r="G22" t="s">
        <v>352</v>
      </c>
    </row>
    <row r="23" spans="2:11" x14ac:dyDescent="0.25">
      <c r="C23" s="23"/>
      <c r="D23" s="21"/>
      <c r="F23" t="s">
        <v>353</v>
      </c>
      <c r="G23">
        <v>4</v>
      </c>
      <c r="H23" t="str">
        <f>Valida(F23,G23)</f>
        <v/>
      </c>
    </row>
    <row r="24" spans="2:11" x14ac:dyDescent="0.25">
      <c r="C24" s="23"/>
      <c r="D24" s="21"/>
    </row>
  </sheetData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B1:M24"/>
  <sheetViews>
    <sheetView workbookViewId="0">
      <selection activeCell="D2" sqref="D2:M13"/>
    </sheetView>
  </sheetViews>
  <sheetFormatPr baseColWidth="10" defaultRowHeight="15" x14ac:dyDescent="0.25"/>
  <cols>
    <col min="2" max="2" width="10.5703125" customWidth="1"/>
    <col min="3" max="3" width="35.28515625" customWidth="1"/>
    <col min="5" max="5" width="24.5703125" customWidth="1"/>
    <col min="8" max="8" width="9.42578125" customWidth="1"/>
    <col min="9" max="9" width="5" customWidth="1"/>
    <col min="12" max="13" width="4.28515625" customWidth="1"/>
  </cols>
  <sheetData>
    <row r="1" spans="2:13" ht="15.75" thickBot="1" x14ac:dyDescent="0.3">
      <c r="D1" t="s">
        <v>0</v>
      </c>
      <c r="E1" t="s">
        <v>2</v>
      </c>
      <c r="F1" t="s">
        <v>34</v>
      </c>
      <c r="G1" t="s">
        <v>4</v>
      </c>
      <c r="H1" t="s">
        <v>230</v>
      </c>
      <c r="I1" t="s">
        <v>231</v>
      </c>
      <c r="J1" t="s">
        <v>232</v>
      </c>
      <c r="K1" t="s">
        <v>233</v>
      </c>
      <c r="L1" t="s">
        <v>234</v>
      </c>
      <c r="M1" t="s">
        <v>235</v>
      </c>
    </row>
    <row r="2" spans="2:13" x14ac:dyDescent="0.25">
      <c r="B2" s="27">
        <v>16110984</v>
      </c>
      <c r="C2" s="16" t="s">
        <v>273</v>
      </c>
      <c r="D2" s="24">
        <f>B2</f>
        <v>16110984</v>
      </c>
      <c r="E2" t="str">
        <f>ExtraeNom(C2)</f>
        <v>JUAN ADIEL</v>
      </c>
      <c r="F2" t="str">
        <f>ApePat(C2)</f>
        <v>ADRIAN</v>
      </c>
      <c r="G2" t="str">
        <f>ApeMat(C2)</f>
        <v>LLANES</v>
      </c>
      <c r="H2" t="s">
        <v>118</v>
      </c>
      <c r="J2">
        <v>2</v>
      </c>
      <c r="K2" t="s">
        <v>285</v>
      </c>
    </row>
    <row r="3" spans="2:13" x14ac:dyDescent="0.25">
      <c r="B3" s="15">
        <v>16110985</v>
      </c>
      <c r="C3" s="18" t="s">
        <v>274</v>
      </c>
      <c r="D3" s="24">
        <f t="shared" ref="D3:D13" si="0">B3</f>
        <v>16110985</v>
      </c>
      <c r="E3" t="str">
        <f t="shared" ref="E3:E13" si="1">ExtraeNom(C3)</f>
        <v>JESSICA DEL CARMEN</v>
      </c>
      <c r="F3" t="str">
        <f t="shared" ref="F3:F13" si="2">ApePat(C3)</f>
        <v>BAAS</v>
      </c>
      <c r="G3" t="str">
        <f t="shared" ref="G3:G13" si="3">ApeMat(C3)</f>
        <v>AZCORRA</v>
      </c>
      <c r="H3" t="s">
        <v>118</v>
      </c>
      <c r="J3">
        <v>2</v>
      </c>
      <c r="K3" t="s">
        <v>285</v>
      </c>
    </row>
    <row r="4" spans="2:13" x14ac:dyDescent="0.25">
      <c r="B4" s="17">
        <v>16110987</v>
      </c>
      <c r="C4" s="18" t="s">
        <v>275</v>
      </c>
      <c r="D4" s="24">
        <f t="shared" si="0"/>
        <v>16110987</v>
      </c>
      <c r="E4" t="str">
        <f t="shared" si="1"/>
        <v>JESUS FRANCISCO</v>
      </c>
      <c r="F4" t="str">
        <f t="shared" si="2"/>
        <v>CHAN</v>
      </c>
      <c r="G4" t="str">
        <f t="shared" si="3"/>
        <v>UC</v>
      </c>
      <c r="H4" t="s">
        <v>118</v>
      </c>
      <c r="J4">
        <v>2</v>
      </c>
      <c r="K4" t="s">
        <v>285</v>
      </c>
    </row>
    <row r="5" spans="2:13" x14ac:dyDescent="0.25">
      <c r="B5" s="17">
        <v>16110989</v>
      </c>
      <c r="C5" s="18" t="s">
        <v>276</v>
      </c>
      <c r="D5" s="24">
        <f t="shared" si="0"/>
        <v>16110989</v>
      </c>
      <c r="E5" t="str">
        <f t="shared" si="1"/>
        <v>ANTONIO CONCEPCIÓN</v>
      </c>
      <c r="F5" t="str">
        <f t="shared" si="2"/>
        <v>DZUL</v>
      </c>
      <c r="G5" t="str">
        <f t="shared" si="3"/>
        <v>ARAGON</v>
      </c>
      <c r="H5" t="s">
        <v>118</v>
      </c>
      <c r="J5">
        <v>2</v>
      </c>
      <c r="K5" t="s">
        <v>285</v>
      </c>
    </row>
    <row r="6" spans="2:13" x14ac:dyDescent="0.25">
      <c r="B6" s="17">
        <v>16110990</v>
      </c>
      <c r="C6" s="18" t="s">
        <v>277</v>
      </c>
      <c r="D6" s="24">
        <f t="shared" si="0"/>
        <v>16110990</v>
      </c>
      <c r="E6" t="str">
        <f t="shared" si="1"/>
        <v>JOSE RODOLFO</v>
      </c>
      <c r="F6" t="str">
        <f t="shared" si="2"/>
        <v>ESQUIVEL</v>
      </c>
      <c r="G6" t="str">
        <f t="shared" si="3"/>
        <v>CABRERA</v>
      </c>
      <c r="H6" t="s">
        <v>118</v>
      </c>
      <c r="J6">
        <v>2</v>
      </c>
      <c r="K6" t="s">
        <v>285</v>
      </c>
    </row>
    <row r="7" spans="2:13" x14ac:dyDescent="0.25">
      <c r="B7" s="17">
        <v>16110991</v>
      </c>
      <c r="C7" s="18" t="s">
        <v>278</v>
      </c>
      <c r="D7" s="24">
        <f t="shared" si="0"/>
        <v>16110991</v>
      </c>
      <c r="E7" t="str">
        <f t="shared" si="1"/>
        <v>MOISES ESAU</v>
      </c>
      <c r="F7" t="str">
        <f t="shared" si="2"/>
        <v>EUAN</v>
      </c>
      <c r="G7" t="str">
        <f t="shared" si="3"/>
        <v>MARTINEZ</v>
      </c>
      <c r="H7" t="s">
        <v>118</v>
      </c>
      <c r="J7">
        <v>2</v>
      </c>
      <c r="K7" t="s">
        <v>285</v>
      </c>
    </row>
    <row r="8" spans="2:13" x14ac:dyDescent="0.25">
      <c r="B8" s="17">
        <v>16110992</v>
      </c>
      <c r="C8" s="18" t="s">
        <v>279</v>
      </c>
      <c r="D8" s="24">
        <f t="shared" si="0"/>
        <v>16110992</v>
      </c>
      <c r="E8" t="str">
        <f t="shared" si="1"/>
        <v>DIDIER ALDAIR</v>
      </c>
      <c r="F8" t="str">
        <f t="shared" si="2"/>
        <v>HU</v>
      </c>
      <c r="G8" t="str">
        <f t="shared" si="3"/>
        <v>POOL</v>
      </c>
      <c r="H8" t="s">
        <v>118</v>
      </c>
      <c r="J8">
        <v>2</v>
      </c>
      <c r="K8" t="s">
        <v>285</v>
      </c>
    </row>
    <row r="9" spans="2:13" x14ac:dyDescent="0.25">
      <c r="B9" s="17">
        <v>16110995</v>
      </c>
      <c r="C9" s="23" t="s">
        <v>280</v>
      </c>
      <c r="D9" s="24">
        <f t="shared" si="0"/>
        <v>16110995</v>
      </c>
      <c r="E9" t="str">
        <f t="shared" si="1"/>
        <v>ALDO ISRAEL</v>
      </c>
      <c r="F9" t="str">
        <f t="shared" si="2"/>
        <v>MAY</v>
      </c>
      <c r="G9" t="str">
        <f t="shared" si="3"/>
        <v>CONTRERAS</v>
      </c>
      <c r="H9" t="s">
        <v>118</v>
      </c>
      <c r="J9">
        <v>2</v>
      </c>
      <c r="K9" t="s">
        <v>285</v>
      </c>
    </row>
    <row r="10" spans="2:13" x14ac:dyDescent="0.25">
      <c r="B10" s="17">
        <v>16110996</v>
      </c>
      <c r="C10" s="23" t="s">
        <v>281</v>
      </c>
      <c r="D10" s="24">
        <f t="shared" si="0"/>
        <v>16110996</v>
      </c>
      <c r="E10" t="str">
        <f t="shared" si="1"/>
        <v>DAVID GEREMIAS</v>
      </c>
      <c r="F10" t="str">
        <f t="shared" si="2"/>
        <v>PATRICIO</v>
      </c>
      <c r="G10" t="str">
        <f t="shared" si="3"/>
        <v>KOO</v>
      </c>
      <c r="H10" t="s">
        <v>118</v>
      </c>
      <c r="J10">
        <v>2</v>
      </c>
      <c r="K10" t="s">
        <v>285</v>
      </c>
    </row>
    <row r="11" spans="2:13" x14ac:dyDescent="0.25">
      <c r="B11" s="17">
        <v>16110997</v>
      </c>
      <c r="C11" s="23" t="s">
        <v>282</v>
      </c>
      <c r="D11" s="24">
        <f t="shared" si="0"/>
        <v>16110997</v>
      </c>
      <c r="E11" t="str">
        <f t="shared" si="1"/>
        <v>JUAN</v>
      </c>
      <c r="F11" t="str">
        <f t="shared" si="2"/>
        <v>POOL</v>
      </c>
      <c r="G11" t="str">
        <f t="shared" si="3"/>
        <v>UICAB</v>
      </c>
      <c r="H11" t="s">
        <v>118</v>
      </c>
      <c r="J11">
        <v>2</v>
      </c>
      <c r="K11" t="s">
        <v>285</v>
      </c>
    </row>
    <row r="12" spans="2:13" x14ac:dyDescent="0.25">
      <c r="B12" s="17">
        <v>16110998</v>
      </c>
      <c r="C12" s="23" t="s">
        <v>283</v>
      </c>
      <c r="D12" s="24">
        <f t="shared" si="0"/>
        <v>16110998</v>
      </c>
      <c r="E12" t="str">
        <f t="shared" si="1"/>
        <v>ARGENIS ISAIAS</v>
      </c>
      <c r="F12" t="str">
        <f t="shared" si="2"/>
        <v>POOT</v>
      </c>
      <c r="G12" t="str">
        <f t="shared" si="3"/>
        <v>POOL</v>
      </c>
      <c r="H12" t="s">
        <v>118</v>
      </c>
      <c r="J12">
        <v>2</v>
      </c>
      <c r="K12" t="s">
        <v>285</v>
      </c>
    </row>
    <row r="13" spans="2:13" x14ac:dyDescent="0.25">
      <c r="B13" s="17">
        <v>16110999</v>
      </c>
      <c r="C13" s="23" t="s">
        <v>284</v>
      </c>
      <c r="D13" s="24">
        <f t="shared" si="0"/>
        <v>16110999</v>
      </c>
      <c r="E13" t="str">
        <f t="shared" si="1"/>
        <v>RAMON DANIEL</v>
      </c>
      <c r="F13" t="str">
        <f t="shared" si="2"/>
        <v>REJON</v>
      </c>
      <c r="G13" t="str">
        <f t="shared" si="3"/>
        <v>DZIB</v>
      </c>
      <c r="H13" t="s">
        <v>118</v>
      </c>
      <c r="J13">
        <v>2</v>
      </c>
      <c r="K13" t="s">
        <v>285</v>
      </c>
    </row>
    <row r="14" spans="2:13" x14ac:dyDescent="0.25">
      <c r="B14" s="26"/>
      <c r="C14" s="23"/>
      <c r="D14" s="24"/>
    </row>
    <row r="15" spans="2:13" x14ac:dyDescent="0.25">
      <c r="B15" s="26"/>
      <c r="C15" s="23"/>
      <c r="D15" s="24"/>
    </row>
    <row r="16" spans="2:13" x14ac:dyDescent="0.25">
      <c r="B16" s="26"/>
      <c r="C16" s="23"/>
      <c r="D16" s="24"/>
    </row>
    <row r="17" spans="2:4" x14ac:dyDescent="0.25">
      <c r="B17" s="26"/>
      <c r="C17" s="23"/>
      <c r="D17" s="24"/>
    </row>
    <row r="18" spans="2:4" x14ac:dyDescent="0.25">
      <c r="B18" s="24"/>
      <c r="C18" s="23"/>
      <c r="D18" s="24"/>
    </row>
    <row r="19" spans="2:4" x14ac:dyDescent="0.25">
      <c r="B19" s="24"/>
      <c r="C19" s="23"/>
      <c r="D19" s="24"/>
    </row>
    <row r="20" spans="2:4" x14ac:dyDescent="0.25">
      <c r="B20" s="24"/>
      <c r="C20" s="23"/>
      <c r="D20" s="24"/>
    </row>
    <row r="21" spans="2:4" x14ac:dyDescent="0.25">
      <c r="C21" s="23"/>
      <c r="D21" s="21"/>
    </row>
    <row r="22" spans="2:4" x14ac:dyDescent="0.25">
      <c r="C22" s="23"/>
      <c r="D22" s="21"/>
    </row>
    <row r="23" spans="2:4" x14ac:dyDescent="0.25">
      <c r="C23" s="23"/>
      <c r="D23" s="21"/>
    </row>
    <row r="24" spans="2:4" x14ac:dyDescent="0.25">
      <c r="C24" s="23"/>
      <c r="D24" s="21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/>
  <dimension ref="B1:M31"/>
  <sheetViews>
    <sheetView topLeftCell="A16" workbookViewId="0">
      <selection activeCell="D2" sqref="D2:M31"/>
    </sheetView>
  </sheetViews>
  <sheetFormatPr baseColWidth="10" defaultRowHeight="15" x14ac:dyDescent="0.25"/>
  <cols>
    <col min="2" max="2" width="10.5703125" customWidth="1"/>
    <col min="3" max="3" width="35.28515625" customWidth="1"/>
    <col min="5" max="5" width="24.5703125" customWidth="1"/>
    <col min="8" max="8" width="9.42578125" customWidth="1"/>
    <col min="9" max="9" width="5" customWidth="1"/>
    <col min="12" max="13" width="4.28515625" customWidth="1"/>
  </cols>
  <sheetData>
    <row r="1" spans="2:13" ht="15.75" thickBot="1" x14ac:dyDescent="0.3">
      <c r="D1" t="s">
        <v>0</v>
      </c>
      <c r="E1" t="s">
        <v>2</v>
      </c>
      <c r="F1" t="s">
        <v>34</v>
      </c>
      <c r="G1" t="s">
        <v>4</v>
      </c>
      <c r="H1" t="s">
        <v>230</v>
      </c>
      <c r="I1" t="s">
        <v>231</v>
      </c>
      <c r="J1" t="s">
        <v>232</v>
      </c>
      <c r="K1" t="s">
        <v>233</v>
      </c>
      <c r="L1" t="s">
        <v>234</v>
      </c>
      <c r="M1" t="s">
        <v>235</v>
      </c>
    </row>
    <row r="2" spans="2:13" x14ac:dyDescent="0.25">
      <c r="B2" s="15">
        <v>16311077</v>
      </c>
      <c r="C2" s="28" t="s">
        <v>286</v>
      </c>
      <c r="D2" s="24">
        <f>B2</f>
        <v>16311077</v>
      </c>
      <c r="E2" t="str">
        <f>ExtraeNom(C2)</f>
        <v>YNNEL ANAELI</v>
      </c>
      <c r="F2" t="str">
        <f>ApePat(C2)</f>
        <v>ABAN</v>
      </c>
      <c r="G2" t="str">
        <f>ApeMat(C2)</f>
        <v>POOL</v>
      </c>
      <c r="H2" t="s">
        <v>206</v>
      </c>
      <c r="J2">
        <v>2</v>
      </c>
      <c r="K2" t="s">
        <v>316</v>
      </c>
    </row>
    <row r="3" spans="2:13" x14ac:dyDescent="0.25">
      <c r="B3" s="15">
        <v>16311080</v>
      </c>
      <c r="C3" s="18" t="s">
        <v>287</v>
      </c>
      <c r="D3" s="24">
        <f t="shared" ref="D3:D31" si="0">B3</f>
        <v>16311080</v>
      </c>
      <c r="E3" t="str">
        <f t="shared" ref="E3:E31" si="1">ExtraeNom(C3)</f>
        <v>GONZALO JESUS</v>
      </c>
      <c r="F3" t="str">
        <f t="shared" ref="F3:F31" si="2">ApePat(C3)</f>
        <v>ALCOCER</v>
      </c>
      <c r="G3" t="str">
        <f t="shared" ref="G3:G31" si="3">ApeMat(C3)</f>
        <v>CEBALLOS</v>
      </c>
      <c r="H3" t="s">
        <v>206</v>
      </c>
      <c r="J3">
        <v>3</v>
      </c>
      <c r="K3" t="s">
        <v>316</v>
      </c>
    </row>
    <row r="4" spans="2:13" x14ac:dyDescent="0.25">
      <c r="B4" s="17">
        <v>16311086</v>
      </c>
      <c r="C4" s="18" t="s">
        <v>288</v>
      </c>
      <c r="D4" s="24">
        <f t="shared" si="0"/>
        <v>16311086</v>
      </c>
      <c r="E4" t="str">
        <f t="shared" si="1"/>
        <v>TAMAYO MARIA ELENA</v>
      </c>
      <c r="F4" t="str">
        <f t="shared" si="2"/>
        <v>BALAM</v>
      </c>
      <c r="G4" t="str">
        <f t="shared" si="3"/>
        <v>TAMAYO</v>
      </c>
      <c r="H4" t="s">
        <v>206</v>
      </c>
      <c r="J4">
        <v>4</v>
      </c>
      <c r="K4" t="s">
        <v>316</v>
      </c>
    </row>
    <row r="5" spans="2:13" x14ac:dyDescent="0.25">
      <c r="B5" s="17">
        <v>16311088</v>
      </c>
      <c r="C5" s="18" t="s">
        <v>289</v>
      </c>
      <c r="D5" s="24">
        <f t="shared" si="0"/>
        <v>16311088</v>
      </c>
      <c r="E5" t="str">
        <f t="shared" si="1"/>
        <v>IRVIN ADRIAN</v>
      </c>
      <c r="F5" t="str">
        <f t="shared" si="2"/>
        <v>BALAM</v>
      </c>
      <c r="G5" t="str">
        <f t="shared" si="3"/>
        <v>UH</v>
      </c>
      <c r="H5" t="s">
        <v>206</v>
      </c>
      <c r="J5">
        <v>5</v>
      </c>
      <c r="K5" t="s">
        <v>316</v>
      </c>
    </row>
    <row r="6" spans="2:13" x14ac:dyDescent="0.25">
      <c r="B6" s="17">
        <v>16311089</v>
      </c>
      <c r="C6" s="18" t="s">
        <v>290</v>
      </c>
      <c r="D6" s="24">
        <f t="shared" si="0"/>
        <v>16311089</v>
      </c>
      <c r="E6" t="str">
        <f t="shared" si="1"/>
        <v>MERCY ESTEFANIA</v>
      </c>
      <c r="F6" t="str">
        <f t="shared" si="2"/>
        <v>BASTO</v>
      </c>
      <c r="G6" t="str">
        <f t="shared" si="3"/>
        <v>CASTILLO</v>
      </c>
      <c r="H6" t="s">
        <v>206</v>
      </c>
      <c r="J6">
        <v>6</v>
      </c>
      <c r="K6" t="s">
        <v>316</v>
      </c>
    </row>
    <row r="7" spans="2:13" x14ac:dyDescent="0.25">
      <c r="B7" s="17">
        <v>16311093</v>
      </c>
      <c r="C7" s="18" t="s">
        <v>291</v>
      </c>
      <c r="D7" s="24">
        <f t="shared" si="0"/>
        <v>16311093</v>
      </c>
      <c r="E7" t="str">
        <f t="shared" si="1"/>
        <v>MARCOS EMANUEL</v>
      </c>
      <c r="F7" t="str">
        <f t="shared" si="2"/>
        <v>CAN</v>
      </c>
      <c r="G7" t="str">
        <f t="shared" si="3"/>
        <v>EK</v>
      </c>
      <c r="H7" t="s">
        <v>206</v>
      </c>
      <c r="J7">
        <v>7</v>
      </c>
      <c r="K7" t="s">
        <v>316</v>
      </c>
    </row>
    <row r="8" spans="2:13" x14ac:dyDescent="0.25">
      <c r="B8" s="17">
        <v>16311096</v>
      </c>
      <c r="C8" s="18" t="s">
        <v>292</v>
      </c>
      <c r="D8" s="24">
        <f t="shared" si="0"/>
        <v>16311096</v>
      </c>
      <c r="E8" t="str">
        <f t="shared" si="1"/>
        <v>JOSE ELIEL</v>
      </c>
      <c r="F8" t="str">
        <f t="shared" si="2"/>
        <v>CANCHE</v>
      </c>
      <c r="G8" t="str">
        <f t="shared" si="3"/>
        <v>LLANOS</v>
      </c>
      <c r="H8" t="s">
        <v>206</v>
      </c>
      <c r="J8">
        <v>8</v>
      </c>
      <c r="K8" t="s">
        <v>316</v>
      </c>
    </row>
    <row r="9" spans="2:13" x14ac:dyDescent="0.25">
      <c r="B9" s="17">
        <v>16311099</v>
      </c>
      <c r="C9" s="18" t="s">
        <v>293</v>
      </c>
      <c r="D9" s="24">
        <f t="shared" si="0"/>
        <v>16311099</v>
      </c>
      <c r="E9" t="str">
        <f t="shared" si="1"/>
        <v>TERESA ISABEL</v>
      </c>
      <c r="F9" t="str">
        <f t="shared" si="2"/>
        <v>CANUL</v>
      </c>
      <c r="G9" t="str">
        <f t="shared" si="3"/>
        <v>GONZALEZ</v>
      </c>
      <c r="H9" t="s">
        <v>206</v>
      </c>
      <c r="J9">
        <v>9</v>
      </c>
      <c r="K9" t="s">
        <v>316</v>
      </c>
    </row>
    <row r="10" spans="2:13" x14ac:dyDescent="0.25">
      <c r="B10" s="17">
        <v>16311101</v>
      </c>
      <c r="C10" s="18" t="s">
        <v>294</v>
      </c>
      <c r="D10" s="24">
        <f t="shared" si="0"/>
        <v>16311101</v>
      </c>
      <c r="E10" t="str">
        <f t="shared" si="1"/>
        <v>ISIDRA NOEMI</v>
      </c>
      <c r="F10" t="str">
        <f t="shared" si="2"/>
        <v>CAUICH</v>
      </c>
      <c r="G10" t="str">
        <f t="shared" si="3"/>
        <v>MOO</v>
      </c>
      <c r="H10" t="s">
        <v>206</v>
      </c>
      <c r="J10">
        <v>10</v>
      </c>
      <c r="K10" t="s">
        <v>316</v>
      </c>
    </row>
    <row r="11" spans="2:13" x14ac:dyDescent="0.25">
      <c r="B11" s="17">
        <v>16311102</v>
      </c>
      <c r="C11" s="18" t="s">
        <v>295</v>
      </c>
      <c r="D11" s="24">
        <f t="shared" si="0"/>
        <v>16311102</v>
      </c>
      <c r="E11" t="str">
        <f t="shared" si="1"/>
        <v>CESAR ANTONIO</v>
      </c>
      <c r="F11" t="str">
        <f t="shared" si="2"/>
        <v>CEN</v>
      </c>
      <c r="G11" t="str">
        <f t="shared" si="3"/>
        <v>CHAN</v>
      </c>
      <c r="H11" t="s">
        <v>206</v>
      </c>
      <c r="J11">
        <v>11</v>
      </c>
      <c r="K11" t="s">
        <v>316</v>
      </c>
    </row>
    <row r="12" spans="2:13" x14ac:dyDescent="0.25">
      <c r="B12" s="17">
        <v>16311104</v>
      </c>
      <c r="C12" s="18" t="s">
        <v>296</v>
      </c>
      <c r="D12" s="24">
        <f t="shared" si="0"/>
        <v>16311104</v>
      </c>
      <c r="E12" t="str">
        <f t="shared" si="1"/>
        <v>GUADALUPE BEATRIZ</v>
      </c>
      <c r="F12" t="str">
        <f t="shared" si="2"/>
        <v>CHAN</v>
      </c>
      <c r="G12" t="str">
        <f t="shared" si="3"/>
        <v>POOL</v>
      </c>
      <c r="H12" t="s">
        <v>206</v>
      </c>
      <c r="J12">
        <v>12</v>
      </c>
      <c r="K12" t="s">
        <v>316</v>
      </c>
    </row>
    <row r="13" spans="2:13" x14ac:dyDescent="0.25">
      <c r="B13" s="17">
        <v>16311105</v>
      </c>
      <c r="C13" s="18" t="s">
        <v>297</v>
      </c>
      <c r="D13" s="24">
        <f t="shared" si="0"/>
        <v>16311105</v>
      </c>
      <c r="E13" t="str">
        <f t="shared" si="1"/>
        <v>MARIA DE LOS ANGELES</v>
      </c>
      <c r="F13" t="str">
        <f t="shared" si="2"/>
        <v>CHAY</v>
      </c>
      <c r="G13" t="str">
        <f t="shared" si="3"/>
        <v>MALDONADO</v>
      </c>
      <c r="H13" t="s">
        <v>206</v>
      </c>
      <c r="J13">
        <v>13</v>
      </c>
      <c r="K13" t="s">
        <v>316</v>
      </c>
    </row>
    <row r="14" spans="2:13" x14ac:dyDescent="0.25">
      <c r="B14" s="17">
        <v>16311108</v>
      </c>
      <c r="C14" s="18" t="s">
        <v>298</v>
      </c>
      <c r="D14" s="24">
        <f t="shared" si="0"/>
        <v>16311108</v>
      </c>
      <c r="E14" t="str">
        <f t="shared" si="1"/>
        <v>JOSE OCTAVIO</v>
      </c>
      <c r="F14" t="str">
        <f t="shared" si="2"/>
        <v>CHI</v>
      </c>
      <c r="G14" t="str">
        <f t="shared" si="3"/>
        <v>GUTIERREZ</v>
      </c>
      <c r="H14" t="s">
        <v>206</v>
      </c>
      <c r="J14">
        <v>14</v>
      </c>
      <c r="K14" t="s">
        <v>316</v>
      </c>
    </row>
    <row r="15" spans="2:13" x14ac:dyDescent="0.25">
      <c r="B15" s="17">
        <v>16311110</v>
      </c>
      <c r="C15" s="18" t="s">
        <v>299</v>
      </c>
      <c r="D15" s="24">
        <f t="shared" si="0"/>
        <v>16311110</v>
      </c>
      <c r="E15" t="str">
        <f t="shared" si="1"/>
        <v>LISSET YANELLI</v>
      </c>
      <c r="F15" t="str">
        <f t="shared" si="2"/>
        <v>COB</v>
      </c>
      <c r="G15" t="str">
        <f t="shared" si="3"/>
        <v>COX</v>
      </c>
      <c r="H15" t="s">
        <v>206</v>
      </c>
      <c r="J15">
        <v>15</v>
      </c>
      <c r="K15" t="s">
        <v>316</v>
      </c>
    </row>
    <row r="16" spans="2:13" x14ac:dyDescent="0.25">
      <c r="B16" s="17">
        <v>16311114</v>
      </c>
      <c r="C16" s="18" t="s">
        <v>300</v>
      </c>
      <c r="D16" s="24">
        <f t="shared" si="0"/>
        <v>16311114</v>
      </c>
      <c r="E16" t="str">
        <f t="shared" si="1"/>
        <v>ELMER BENJAMIN</v>
      </c>
      <c r="F16" t="str">
        <f t="shared" si="2"/>
        <v>DZIB</v>
      </c>
      <c r="G16" t="str">
        <f t="shared" si="3"/>
        <v>SANTOS</v>
      </c>
      <c r="H16" t="s">
        <v>206</v>
      </c>
      <c r="J16">
        <v>16</v>
      </c>
      <c r="K16" t="s">
        <v>316</v>
      </c>
    </row>
    <row r="17" spans="2:11" x14ac:dyDescent="0.25">
      <c r="B17" s="17">
        <v>16311117</v>
      </c>
      <c r="C17" s="18" t="s">
        <v>301</v>
      </c>
      <c r="D17" s="24">
        <f t="shared" si="0"/>
        <v>16311117</v>
      </c>
      <c r="E17" t="str">
        <f t="shared" si="1"/>
        <v>CESAR</v>
      </c>
      <c r="F17" t="str">
        <f t="shared" si="2"/>
        <v>GALLEGOS</v>
      </c>
      <c r="G17" t="str">
        <f t="shared" si="3"/>
        <v>BAUTISTA</v>
      </c>
      <c r="H17" t="s">
        <v>206</v>
      </c>
      <c r="J17">
        <v>17</v>
      </c>
      <c r="K17" t="s">
        <v>316</v>
      </c>
    </row>
    <row r="18" spans="2:11" x14ac:dyDescent="0.25">
      <c r="B18" s="17">
        <v>16311122</v>
      </c>
      <c r="C18" s="18" t="s">
        <v>302</v>
      </c>
      <c r="D18" s="24">
        <f t="shared" si="0"/>
        <v>16311122</v>
      </c>
      <c r="E18" t="str">
        <f t="shared" si="1"/>
        <v>REYES DAVID</v>
      </c>
      <c r="F18" t="str">
        <f t="shared" si="2"/>
        <v>HUH</v>
      </c>
      <c r="G18" t="str">
        <f t="shared" si="3"/>
        <v>EUAN</v>
      </c>
      <c r="H18" t="s">
        <v>206</v>
      </c>
      <c r="J18">
        <v>18</v>
      </c>
      <c r="K18" t="s">
        <v>316</v>
      </c>
    </row>
    <row r="19" spans="2:11" x14ac:dyDescent="0.25">
      <c r="B19" s="17">
        <v>16311126</v>
      </c>
      <c r="C19" s="18" t="s">
        <v>303</v>
      </c>
      <c r="D19" s="24">
        <f t="shared" si="0"/>
        <v>16311126</v>
      </c>
      <c r="E19" t="str">
        <f t="shared" si="1"/>
        <v>MIGUEL ANGEL</v>
      </c>
      <c r="F19" t="str">
        <f t="shared" si="2"/>
        <v>MATA</v>
      </c>
      <c r="G19" t="str">
        <f t="shared" si="3"/>
        <v>SEGURA</v>
      </c>
      <c r="H19" t="s">
        <v>206</v>
      </c>
      <c r="J19">
        <v>19</v>
      </c>
      <c r="K19" t="s">
        <v>316</v>
      </c>
    </row>
    <row r="20" spans="2:11" x14ac:dyDescent="0.25">
      <c r="B20" s="17">
        <v>16311128</v>
      </c>
      <c r="C20" s="18" t="s">
        <v>304</v>
      </c>
      <c r="D20" s="24">
        <f t="shared" si="0"/>
        <v>16311128</v>
      </c>
      <c r="E20" t="str">
        <f t="shared" si="1"/>
        <v>GUILLERMO ENRIQUE</v>
      </c>
      <c r="F20" t="str">
        <f t="shared" si="2"/>
        <v>MEDINA</v>
      </c>
      <c r="G20" t="str">
        <f t="shared" si="3"/>
        <v>AKE</v>
      </c>
      <c r="H20" t="s">
        <v>206</v>
      </c>
      <c r="J20">
        <v>20</v>
      </c>
      <c r="K20" t="s">
        <v>316</v>
      </c>
    </row>
    <row r="21" spans="2:11" x14ac:dyDescent="0.25">
      <c r="B21" s="17">
        <v>16311129</v>
      </c>
      <c r="C21" s="18" t="s">
        <v>305</v>
      </c>
      <c r="D21" s="24">
        <f t="shared" si="0"/>
        <v>16311129</v>
      </c>
      <c r="E21" t="str">
        <f t="shared" si="1"/>
        <v>MAYTE GUADALUPE</v>
      </c>
      <c r="F21" t="str">
        <f t="shared" si="2"/>
        <v>MEX</v>
      </c>
      <c r="G21" t="str">
        <f t="shared" si="3"/>
        <v>HAU</v>
      </c>
      <c r="H21" t="s">
        <v>206</v>
      </c>
      <c r="J21">
        <v>21</v>
      </c>
      <c r="K21" t="s">
        <v>316</v>
      </c>
    </row>
    <row r="22" spans="2:11" x14ac:dyDescent="0.25">
      <c r="B22" s="17">
        <v>16311132</v>
      </c>
      <c r="C22" s="18" t="s">
        <v>306</v>
      </c>
      <c r="D22" s="24">
        <f t="shared" si="0"/>
        <v>16311132</v>
      </c>
      <c r="E22" t="str">
        <f t="shared" si="1"/>
        <v>IRIS ARLENI</v>
      </c>
      <c r="F22" t="str">
        <f t="shared" si="2"/>
        <v>MOO</v>
      </c>
      <c r="G22" t="str">
        <f t="shared" si="3"/>
        <v>DZUL</v>
      </c>
      <c r="H22" t="s">
        <v>206</v>
      </c>
      <c r="J22">
        <v>22</v>
      </c>
      <c r="K22" t="s">
        <v>316</v>
      </c>
    </row>
    <row r="23" spans="2:11" x14ac:dyDescent="0.25">
      <c r="B23" s="17">
        <v>16311135</v>
      </c>
      <c r="C23" s="18" t="s">
        <v>307</v>
      </c>
      <c r="D23" s="24">
        <f t="shared" si="0"/>
        <v>16311135</v>
      </c>
      <c r="E23" t="str">
        <f t="shared" si="1"/>
        <v>VANESSA BEATRIZ</v>
      </c>
      <c r="F23" t="str">
        <f t="shared" si="2"/>
        <v>NOH</v>
      </c>
      <c r="G23" t="str">
        <f t="shared" si="3"/>
        <v>CHALE</v>
      </c>
      <c r="H23" t="s">
        <v>206</v>
      </c>
      <c r="J23">
        <v>23</v>
      </c>
      <c r="K23" t="s">
        <v>316</v>
      </c>
    </row>
    <row r="24" spans="2:11" x14ac:dyDescent="0.25">
      <c r="B24" s="17">
        <v>16311138</v>
      </c>
      <c r="C24" s="18" t="s">
        <v>308</v>
      </c>
      <c r="D24" s="24">
        <f t="shared" si="0"/>
        <v>16311138</v>
      </c>
      <c r="E24" t="str">
        <f t="shared" si="1"/>
        <v>ANGELES VICTORIA</v>
      </c>
      <c r="F24" t="str">
        <f t="shared" si="2"/>
        <v>NOVELO</v>
      </c>
      <c r="G24" t="str">
        <f t="shared" si="3"/>
        <v>SEGURA</v>
      </c>
      <c r="H24" t="s">
        <v>206</v>
      </c>
      <c r="J24">
        <v>24</v>
      </c>
      <c r="K24" t="s">
        <v>316</v>
      </c>
    </row>
    <row r="25" spans="2:11" x14ac:dyDescent="0.25">
      <c r="B25" s="15">
        <v>16311140</v>
      </c>
      <c r="C25" s="18" t="s">
        <v>309</v>
      </c>
      <c r="D25" s="24">
        <f t="shared" si="0"/>
        <v>16311140</v>
      </c>
      <c r="E25" t="str">
        <f t="shared" si="1"/>
        <v>ANGEL HERVE</v>
      </c>
      <c r="F25" t="str">
        <f t="shared" si="2"/>
        <v>OXTE</v>
      </c>
      <c r="G25" t="str">
        <f t="shared" si="3"/>
        <v>SALAS</v>
      </c>
      <c r="H25" t="s">
        <v>206</v>
      </c>
      <c r="J25">
        <v>25</v>
      </c>
      <c r="K25" t="s">
        <v>316</v>
      </c>
    </row>
    <row r="26" spans="2:11" x14ac:dyDescent="0.25">
      <c r="B26" s="17">
        <v>16311144</v>
      </c>
      <c r="C26" s="23" t="s">
        <v>310</v>
      </c>
      <c r="D26" s="24">
        <f t="shared" si="0"/>
        <v>16311144</v>
      </c>
      <c r="E26" t="str">
        <f t="shared" si="1"/>
        <v>MARIA CELESTE</v>
      </c>
      <c r="F26" t="str">
        <f t="shared" si="2"/>
        <v>PECH</v>
      </c>
      <c r="G26" t="str">
        <f t="shared" si="3"/>
        <v>PERAZA</v>
      </c>
      <c r="H26" t="s">
        <v>206</v>
      </c>
      <c r="J26">
        <v>26</v>
      </c>
      <c r="K26" t="s">
        <v>316</v>
      </c>
    </row>
    <row r="27" spans="2:11" x14ac:dyDescent="0.25">
      <c r="B27" s="17">
        <v>16311148</v>
      </c>
      <c r="C27" s="23" t="s">
        <v>311</v>
      </c>
      <c r="D27" s="24">
        <f t="shared" si="0"/>
        <v>16311148</v>
      </c>
      <c r="E27" t="str">
        <f t="shared" si="1"/>
        <v>JORGE ALBERTO</v>
      </c>
      <c r="F27" t="str">
        <f t="shared" si="2"/>
        <v>PUC</v>
      </c>
      <c r="G27" t="str">
        <f t="shared" si="3"/>
        <v>MONTOY</v>
      </c>
      <c r="H27" t="s">
        <v>206</v>
      </c>
      <c r="J27">
        <v>27</v>
      </c>
      <c r="K27" t="s">
        <v>316</v>
      </c>
    </row>
    <row r="28" spans="2:11" x14ac:dyDescent="0.25">
      <c r="B28" s="17">
        <v>16311151</v>
      </c>
      <c r="C28" s="23" t="s">
        <v>312</v>
      </c>
      <c r="D28" s="24">
        <f t="shared" si="0"/>
        <v>16311151</v>
      </c>
      <c r="E28" t="str">
        <f t="shared" si="1"/>
        <v>NAYELI CAROLINA</v>
      </c>
      <c r="F28" t="str">
        <f t="shared" si="2"/>
        <v>SALAZAR</v>
      </c>
      <c r="G28" t="str">
        <f t="shared" si="3"/>
        <v>PERAZA</v>
      </c>
      <c r="H28" t="s">
        <v>206</v>
      </c>
      <c r="J28">
        <v>28</v>
      </c>
      <c r="K28" t="s">
        <v>316</v>
      </c>
    </row>
    <row r="29" spans="2:11" x14ac:dyDescent="0.25">
      <c r="B29" s="17">
        <v>16311154</v>
      </c>
      <c r="C29" s="23" t="s">
        <v>313</v>
      </c>
      <c r="D29" s="24">
        <f t="shared" si="0"/>
        <v>16311154</v>
      </c>
      <c r="E29" t="str">
        <f t="shared" si="1"/>
        <v>SELENE GUADALUPE</v>
      </c>
      <c r="F29" t="str">
        <f t="shared" si="2"/>
        <v>SUASTE</v>
      </c>
      <c r="G29" t="str">
        <f t="shared" si="3"/>
        <v>TUYUB</v>
      </c>
      <c r="H29" t="s">
        <v>206</v>
      </c>
      <c r="J29">
        <v>29</v>
      </c>
      <c r="K29" t="s">
        <v>316</v>
      </c>
    </row>
    <row r="30" spans="2:11" x14ac:dyDescent="0.25">
      <c r="B30" s="17">
        <v>16311157</v>
      </c>
      <c r="C30" s="23" t="s">
        <v>314</v>
      </c>
      <c r="D30" s="24">
        <f t="shared" si="0"/>
        <v>16311157</v>
      </c>
      <c r="E30" t="str">
        <f t="shared" si="1"/>
        <v>NAYLA GUADALUPE</v>
      </c>
      <c r="F30" t="str">
        <f t="shared" si="2"/>
        <v>UICAB</v>
      </c>
      <c r="G30" t="str">
        <f t="shared" si="3"/>
        <v>BASTO</v>
      </c>
      <c r="H30" t="s">
        <v>206</v>
      </c>
      <c r="J30">
        <v>30</v>
      </c>
      <c r="K30" t="s">
        <v>316</v>
      </c>
    </row>
    <row r="31" spans="2:11" x14ac:dyDescent="0.25">
      <c r="B31" s="17">
        <v>16311159</v>
      </c>
      <c r="C31" s="23" t="s">
        <v>315</v>
      </c>
      <c r="D31" s="24">
        <f t="shared" si="0"/>
        <v>16311159</v>
      </c>
      <c r="E31" t="str">
        <f t="shared" si="1"/>
        <v>MAYRON CATHERE</v>
      </c>
      <c r="F31" t="str">
        <f t="shared" si="2"/>
        <v>YAM</v>
      </c>
      <c r="G31" t="str">
        <f t="shared" si="3"/>
        <v>UICAB</v>
      </c>
      <c r="H31" t="s">
        <v>206</v>
      </c>
      <c r="J31">
        <v>31</v>
      </c>
      <c r="K31" t="s">
        <v>316</v>
      </c>
    </row>
  </sheetData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B1:M34"/>
  <sheetViews>
    <sheetView topLeftCell="A17" workbookViewId="0">
      <selection activeCell="D2" sqref="D2:M34"/>
    </sheetView>
  </sheetViews>
  <sheetFormatPr baseColWidth="10" defaultRowHeight="15" x14ac:dyDescent="0.25"/>
  <cols>
    <col min="2" max="2" width="10.5703125" customWidth="1"/>
    <col min="3" max="3" width="35.28515625" customWidth="1"/>
    <col min="5" max="5" width="24.5703125" customWidth="1"/>
    <col min="8" max="8" width="9.42578125" customWidth="1"/>
    <col min="9" max="9" width="5" customWidth="1"/>
    <col min="12" max="13" width="4.28515625" customWidth="1"/>
  </cols>
  <sheetData>
    <row r="1" spans="2:13" x14ac:dyDescent="0.25">
      <c r="D1" t="s">
        <v>0</v>
      </c>
      <c r="E1" t="s">
        <v>2</v>
      </c>
      <c r="F1" t="s">
        <v>34</v>
      </c>
      <c r="G1" t="s">
        <v>4</v>
      </c>
      <c r="H1" t="s">
        <v>230</v>
      </c>
      <c r="I1" t="s">
        <v>231</v>
      </c>
      <c r="J1" t="s">
        <v>232</v>
      </c>
      <c r="K1" t="s">
        <v>233</v>
      </c>
      <c r="L1" t="s">
        <v>234</v>
      </c>
      <c r="M1" t="s">
        <v>235</v>
      </c>
    </row>
    <row r="2" spans="2:13" x14ac:dyDescent="0.25">
      <c r="B2" s="29">
        <v>16311084</v>
      </c>
      <c r="C2" s="18" t="s">
        <v>317</v>
      </c>
      <c r="D2" s="24">
        <f>B2</f>
        <v>16311084</v>
      </c>
      <c r="E2" t="str">
        <f>ExtraeNom(C2)</f>
        <v>MARIA JOSE</v>
      </c>
      <c r="F2" t="str">
        <f>ApePat(C2)</f>
        <v>BAAS</v>
      </c>
      <c r="G2" t="str">
        <f>ApeMat(C2)</f>
        <v>MAY</v>
      </c>
      <c r="H2" t="s">
        <v>206</v>
      </c>
      <c r="J2">
        <v>2</v>
      </c>
      <c r="K2" t="s">
        <v>350</v>
      </c>
    </row>
    <row r="3" spans="2:13" x14ac:dyDescent="0.25">
      <c r="B3" s="17">
        <v>16311085</v>
      </c>
      <c r="C3" s="18" t="s">
        <v>318</v>
      </c>
      <c r="D3" s="24">
        <f t="shared" ref="D3:D34" si="0">B3</f>
        <v>16311085</v>
      </c>
      <c r="E3" t="str">
        <f t="shared" ref="E3:E34" si="1">ExtraeNom(C3)</f>
        <v>RAMGEL FRANCISCO</v>
      </c>
      <c r="F3" t="str">
        <f t="shared" ref="F3:F34" si="2">ApePat(C3)</f>
        <v>BACAB</v>
      </c>
      <c r="G3" t="str">
        <f t="shared" ref="G3:G34" si="3">ApeMat(C3)</f>
        <v>CHAN</v>
      </c>
      <c r="H3" t="s">
        <v>206</v>
      </c>
      <c r="J3">
        <v>2</v>
      </c>
      <c r="K3" t="s">
        <v>350</v>
      </c>
    </row>
    <row r="4" spans="2:13" x14ac:dyDescent="0.25">
      <c r="B4" s="29">
        <v>16311087</v>
      </c>
      <c r="C4" s="18" t="s">
        <v>319</v>
      </c>
      <c r="D4" s="24">
        <f t="shared" si="0"/>
        <v>16311087</v>
      </c>
      <c r="E4" t="str">
        <f t="shared" si="1"/>
        <v>YENIFER MICHEL</v>
      </c>
      <c r="F4" t="str">
        <f t="shared" si="2"/>
        <v>BALAM</v>
      </c>
      <c r="G4" t="str">
        <f t="shared" si="3"/>
        <v>MAY</v>
      </c>
      <c r="H4" t="s">
        <v>206</v>
      </c>
      <c r="J4">
        <v>2</v>
      </c>
      <c r="K4" t="s">
        <v>350</v>
      </c>
    </row>
    <row r="5" spans="2:13" x14ac:dyDescent="0.25">
      <c r="B5" s="29">
        <v>16311090</v>
      </c>
      <c r="C5" s="18" t="s">
        <v>320</v>
      </c>
      <c r="D5" s="24">
        <f t="shared" si="0"/>
        <v>16311090</v>
      </c>
      <c r="E5" t="str">
        <f t="shared" si="1"/>
        <v>RAMIRO DE JESUS</v>
      </c>
      <c r="F5" t="str">
        <f t="shared" si="2"/>
        <v>CAMPOS</v>
      </c>
      <c r="G5" t="str">
        <f t="shared" si="3"/>
        <v>CHABLE</v>
      </c>
      <c r="H5" t="s">
        <v>206</v>
      </c>
      <c r="J5">
        <v>2</v>
      </c>
      <c r="K5" t="s">
        <v>350</v>
      </c>
    </row>
    <row r="6" spans="2:13" x14ac:dyDescent="0.25">
      <c r="B6" s="29">
        <v>16311094</v>
      </c>
      <c r="C6" s="18" t="s">
        <v>321</v>
      </c>
      <c r="D6" s="24">
        <f t="shared" si="0"/>
        <v>16311094</v>
      </c>
      <c r="E6" t="str">
        <f t="shared" si="1"/>
        <v>EDUARDO ALEXIS</v>
      </c>
      <c r="F6" t="str">
        <f t="shared" si="2"/>
        <v>CANCHE</v>
      </c>
      <c r="G6" t="str">
        <f t="shared" si="3"/>
        <v>EK</v>
      </c>
      <c r="H6" t="s">
        <v>206</v>
      </c>
      <c r="J6">
        <v>2</v>
      </c>
      <c r="K6" t="s">
        <v>350</v>
      </c>
    </row>
    <row r="7" spans="2:13" x14ac:dyDescent="0.25">
      <c r="B7" s="29">
        <v>16311097</v>
      </c>
      <c r="C7" s="18" t="s">
        <v>322</v>
      </c>
      <c r="D7" s="24">
        <f t="shared" si="0"/>
        <v>16311097</v>
      </c>
      <c r="E7" t="str">
        <f t="shared" si="1"/>
        <v>LUIS ANTONIO</v>
      </c>
      <c r="F7" t="str">
        <f t="shared" si="2"/>
        <v>CANCHE</v>
      </c>
      <c r="G7" t="str">
        <f t="shared" si="3"/>
        <v>MARTIN</v>
      </c>
      <c r="H7" t="s">
        <v>206</v>
      </c>
      <c r="J7">
        <v>2</v>
      </c>
      <c r="K7" t="s">
        <v>350</v>
      </c>
    </row>
    <row r="8" spans="2:13" x14ac:dyDescent="0.25">
      <c r="B8" s="17">
        <v>16311098</v>
      </c>
      <c r="C8" s="18" t="s">
        <v>323</v>
      </c>
      <c r="D8" s="24">
        <f t="shared" si="0"/>
        <v>16311098</v>
      </c>
      <c r="E8" t="str">
        <f t="shared" si="1"/>
        <v>MARYLU DEL CARMEN</v>
      </c>
      <c r="F8" t="str">
        <f t="shared" si="2"/>
        <v>CANCHE</v>
      </c>
      <c r="G8" t="str">
        <f t="shared" si="3"/>
        <v>MUÑOZ</v>
      </c>
      <c r="H8" t="s">
        <v>206</v>
      </c>
      <c r="J8">
        <v>2</v>
      </c>
      <c r="K8" t="s">
        <v>350</v>
      </c>
    </row>
    <row r="9" spans="2:13" x14ac:dyDescent="0.25">
      <c r="B9" s="29">
        <v>16311100</v>
      </c>
      <c r="C9" s="18" t="s">
        <v>324</v>
      </c>
      <c r="D9" s="24">
        <f t="shared" si="0"/>
        <v>16311100</v>
      </c>
      <c r="E9" t="str">
        <f t="shared" si="1"/>
        <v>MANUEL JESUS</v>
      </c>
      <c r="F9" t="str">
        <f t="shared" si="2"/>
        <v>CAUICH</v>
      </c>
      <c r="G9" t="str">
        <f t="shared" si="3"/>
        <v>KU</v>
      </c>
      <c r="H9" t="s">
        <v>206</v>
      </c>
      <c r="J9">
        <v>2</v>
      </c>
      <c r="K9" t="s">
        <v>350</v>
      </c>
    </row>
    <row r="10" spans="2:13" x14ac:dyDescent="0.25">
      <c r="B10" s="29">
        <v>16311103</v>
      </c>
      <c r="C10" s="18" t="s">
        <v>325</v>
      </c>
      <c r="D10" s="24">
        <f t="shared" si="0"/>
        <v>16311103</v>
      </c>
      <c r="E10" t="str">
        <f t="shared" si="1"/>
        <v>ERICA ANAHI</v>
      </c>
      <c r="F10" t="str">
        <f t="shared" si="2"/>
        <v>CETZ</v>
      </c>
      <c r="G10" t="str">
        <f t="shared" si="3"/>
        <v>DZUL</v>
      </c>
      <c r="H10" t="s">
        <v>206</v>
      </c>
      <c r="J10">
        <v>2</v>
      </c>
      <c r="K10" t="s">
        <v>350</v>
      </c>
    </row>
    <row r="11" spans="2:13" x14ac:dyDescent="0.25">
      <c r="B11" s="29">
        <v>16311106</v>
      </c>
      <c r="C11" s="18" t="s">
        <v>326</v>
      </c>
      <c r="D11" s="24">
        <f t="shared" si="0"/>
        <v>16311106</v>
      </c>
      <c r="E11" t="str">
        <f t="shared" si="1"/>
        <v>JORDY LEOBARDO</v>
      </c>
      <c r="F11" t="str">
        <f t="shared" si="2"/>
        <v>CHAY</v>
      </c>
      <c r="G11" t="str">
        <f t="shared" si="3"/>
        <v>MARRUFO</v>
      </c>
      <c r="H11" t="s">
        <v>206</v>
      </c>
      <c r="J11">
        <v>2</v>
      </c>
      <c r="K11" t="s">
        <v>350</v>
      </c>
    </row>
    <row r="12" spans="2:13" x14ac:dyDescent="0.25">
      <c r="B12" s="17">
        <v>16311107</v>
      </c>
      <c r="C12" s="18" t="s">
        <v>327</v>
      </c>
      <c r="D12" s="24">
        <f t="shared" si="0"/>
        <v>16311107</v>
      </c>
      <c r="E12" t="str">
        <f t="shared" si="1"/>
        <v>KARIME AMAIRANI</v>
      </c>
      <c r="F12" t="str">
        <f t="shared" si="2"/>
        <v>CHEL</v>
      </c>
      <c r="G12" t="str">
        <f t="shared" si="3"/>
        <v>CARBAJAL</v>
      </c>
      <c r="H12" t="s">
        <v>206</v>
      </c>
      <c r="J12">
        <v>2</v>
      </c>
      <c r="K12" t="s">
        <v>350</v>
      </c>
    </row>
    <row r="13" spans="2:13" x14ac:dyDescent="0.25">
      <c r="B13" s="29">
        <v>16311109</v>
      </c>
      <c r="C13" s="18" t="s">
        <v>328</v>
      </c>
      <c r="D13" s="24">
        <f t="shared" si="0"/>
        <v>16311109</v>
      </c>
      <c r="E13" t="str">
        <f t="shared" si="1"/>
        <v>ADRIANA YAQUELIN</v>
      </c>
      <c r="F13" t="str">
        <f t="shared" si="2"/>
        <v>CHIM</v>
      </c>
      <c r="G13" t="str">
        <f t="shared" si="3"/>
        <v>EB</v>
      </c>
      <c r="H13" t="s">
        <v>206</v>
      </c>
      <c r="J13">
        <v>2</v>
      </c>
      <c r="K13" t="s">
        <v>350</v>
      </c>
    </row>
    <row r="14" spans="2:13" x14ac:dyDescent="0.25">
      <c r="B14" s="29">
        <v>16311112</v>
      </c>
      <c r="C14" s="18" t="s">
        <v>329</v>
      </c>
      <c r="D14" s="24">
        <f t="shared" si="0"/>
        <v>16311112</v>
      </c>
      <c r="E14" t="str">
        <f t="shared" si="1"/>
        <v>CINDY CAROLINA</v>
      </c>
      <c r="F14" t="str">
        <f t="shared" si="2"/>
        <v>CORAL</v>
      </c>
      <c r="G14" t="str">
        <f t="shared" si="3"/>
        <v>COB</v>
      </c>
      <c r="H14" t="s">
        <v>206</v>
      </c>
      <c r="J14">
        <v>2</v>
      </c>
      <c r="K14" t="s">
        <v>350</v>
      </c>
    </row>
    <row r="15" spans="2:13" x14ac:dyDescent="0.25">
      <c r="B15" s="29">
        <v>16311115</v>
      </c>
      <c r="C15" s="18" t="s">
        <v>330</v>
      </c>
      <c r="D15" s="24">
        <f t="shared" si="0"/>
        <v>16311115</v>
      </c>
      <c r="E15" t="str">
        <f t="shared" si="1"/>
        <v>ESLI SINAI</v>
      </c>
      <c r="F15" t="str">
        <f t="shared" si="2"/>
        <v>DZUL</v>
      </c>
      <c r="G15" t="str">
        <f t="shared" si="3"/>
        <v>CANCHE</v>
      </c>
      <c r="H15" t="s">
        <v>206</v>
      </c>
      <c r="J15">
        <v>2</v>
      </c>
      <c r="K15" t="s">
        <v>350</v>
      </c>
    </row>
    <row r="16" spans="2:13" x14ac:dyDescent="0.25">
      <c r="B16" s="17">
        <v>16311116</v>
      </c>
      <c r="C16" s="18" t="s">
        <v>331</v>
      </c>
      <c r="D16" s="24">
        <f t="shared" si="0"/>
        <v>16311116</v>
      </c>
      <c r="E16" t="str">
        <f t="shared" si="1"/>
        <v>DIEGO RONALDO</v>
      </c>
      <c r="F16" t="str">
        <f t="shared" si="2"/>
        <v>ECHEVERRIA</v>
      </c>
      <c r="G16" t="str">
        <f t="shared" si="3"/>
        <v>CHEL</v>
      </c>
      <c r="H16" t="s">
        <v>206</v>
      </c>
      <c r="J16">
        <v>2</v>
      </c>
      <c r="K16" t="s">
        <v>350</v>
      </c>
    </row>
    <row r="17" spans="2:11" x14ac:dyDescent="0.25">
      <c r="B17" s="29">
        <v>16311118</v>
      </c>
      <c r="C17" s="18" t="s">
        <v>332</v>
      </c>
      <c r="D17" s="24">
        <f t="shared" si="0"/>
        <v>16311118</v>
      </c>
      <c r="E17" t="str">
        <f t="shared" si="1"/>
        <v>EDGAR ANTONIO</v>
      </c>
      <c r="F17" t="str">
        <f t="shared" si="2"/>
        <v>GAMBOA</v>
      </c>
      <c r="G17" t="str">
        <f t="shared" si="3"/>
        <v>VERDE</v>
      </c>
      <c r="H17" t="s">
        <v>206</v>
      </c>
      <c r="J17">
        <v>2</v>
      </c>
      <c r="K17" t="s">
        <v>350</v>
      </c>
    </row>
    <row r="18" spans="2:11" x14ac:dyDescent="0.25">
      <c r="B18" s="17">
        <v>16311119</v>
      </c>
      <c r="C18" s="18" t="s">
        <v>333</v>
      </c>
      <c r="D18" s="24">
        <f t="shared" si="0"/>
        <v>16311119</v>
      </c>
      <c r="E18" t="str">
        <f t="shared" si="1"/>
        <v>YEYMI GUADALUPE</v>
      </c>
      <c r="F18" t="str">
        <f t="shared" si="2"/>
        <v>GIL</v>
      </c>
      <c r="G18" t="str">
        <f t="shared" si="3"/>
        <v>BRICEÑO</v>
      </c>
      <c r="H18" t="s">
        <v>206</v>
      </c>
      <c r="J18">
        <v>2</v>
      </c>
      <c r="K18" t="s">
        <v>350</v>
      </c>
    </row>
    <row r="19" spans="2:11" x14ac:dyDescent="0.25">
      <c r="B19" s="29">
        <v>16311121</v>
      </c>
      <c r="C19" s="18" t="s">
        <v>334</v>
      </c>
      <c r="D19" s="24">
        <f t="shared" si="0"/>
        <v>16311121</v>
      </c>
      <c r="E19" t="str">
        <f t="shared" si="1"/>
        <v>LIZET CRISTEL</v>
      </c>
      <c r="F19" t="str">
        <f t="shared" si="2"/>
        <v>HERNANDEZ</v>
      </c>
      <c r="G19" t="str">
        <f t="shared" si="3"/>
        <v>UC</v>
      </c>
      <c r="H19" t="s">
        <v>206</v>
      </c>
      <c r="J19">
        <v>2</v>
      </c>
      <c r="K19" t="s">
        <v>350</v>
      </c>
    </row>
    <row r="20" spans="2:11" x14ac:dyDescent="0.25">
      <c r="B20" s="17">
        <v>16311125</v>
      </c>
      <c r="C20" s="18" t="s">
        <v>335</v>
      </c>
      <c r="D20" s="24">
        <f t="shared" si="0"/>
        <v>16311125</v>
      </c>
      <c r="E20" t="str">
        <f t="shared" si="1"/>
        <v>ESTHER EUGENIA</v>
      </c>
      <c r="F20" t="str">
        <f t="shared" si="2"/>
        <v>MARTINEZ</v>
      </c>
      <c r="G20" t="str">
        <f t="shared" si="3"/>
        <v>NAVARRO</v>
      </c>
      <c r="H20" t="s">
        <v>206</v>
      </c>
      <c r="J20">
        <v>2</v>
      </c>
      <c r="K20" t="s">
        <v>350</v>
      </c>
    </row>
    <row r="21" spans="2:11" x14ac:dyDescent="0.25">
      <c r="B21" s="29">
        <v>16311127</v>
      </c>
      <c r="C21" s="18" t="s">
        <v>336</v>
      </c>
      <c r="D21" s="24">
        <f t="shared" si="0"/>
        <v>16311127</v>
      </c>
      <c r="E21" t="str">
        <f t="shared" si="1"/>
        <v>ARIANI DEL ROSARIO</v>
      </c>
      <c r="F21" t="str">
        <f t="shared" si="2"/>
        <v>MAY</v>
      </c>
      <c r="G21" t="str">
        <f t="shared" si="3"/>
        <v>DZUL</v>
      </c>
      <c r="H21" t="s">
        <v>206</v>
      </c>
      <c r="J21">
        <v>2</v>
      </c>
      <c r="K21" t="s">
        <v>350</v>
      </c>
    </row>
    <row r="22" spans="2:11" x14ac:dyDescent="0.25">
      <c r="B22" s="29">
        <v>16311130</v>
      </c>
      <c r="C22" s="18" t="s">
        <v>337</v>
      </c>
      <c r="D22" s="24">
        <f t="shared" si="0"/>
        <v>16311130</v>
      </c>
      <c r="E22" t="str">
        <f t="shared" si="1"/>
        <v>DENALY ROSALIA</v>
      </c>
      <c r="F22" t="str">
        <f t="shared" si="2"/>
        <v>MONTALVO</v>
      </c>
      <c r="G22" t="str">
        <f t="shared" si="3"/>
        <v>LEAL</v>
      </c>
      <c r="H22" t="s">
        <v>206</v>
      </c>
      <c r="J22">
        <v>2</v>
      </c>
      <c r="K22" t="s">
        <v>350</v>
      </c>
    </row>
    <row r="23" spans="2:11" x14ac:dyDescent="0.25">
      <c r="B23" s="17">
        <v>16311131</v>
      </c>
      <c r="C23" s="18" t="s">
        <v>338</v>
      </c>
      <c r="D23" s="24">
        <f t="shared" si="0"/>
        <v>16311131</v>
      </c>
      <c r="E23" t="str">
        <f t="shared" si="1"/>
        <v>ALEXIA LISSETT</v>
      </c>
      <c r="F23" t="str">
        <f t="shared" si="2"/>
        <v>MOO</v>
      </c>
      <c r="G23" t="str">
        <f t="shared" si="3"/>
        <v>DIAZ</v>
      </c>
      <c r="H23" t="s">
        <v>206</v>
      </c>
      <c r="J23">
        <v>2</v>
      </c>
      <c r="K23" t="s">
        <v>350</v>
      </c>
    </row>
    <row r="24" spans="2:11" x14ac:dyDescent="0.25">
      <c r="B24" s="17">
        <v>16311134</v>
      </c>
      <c r="C24" s="18" t="s">
        <v>339</v>
      </c>
      <c r="D24" s="24">
        <f t="shared" si="0"/>
        <v>16311134</v>
      </c>
      <c r="E24" t="str">
        <f t="shared" si="1"/>
        <v>JOSE ROBERTO</v>
      </c>
      <c r="F24" t="str">
        <f t="shared" si="2"/>
        <v>NADAL</v>
      </c>
      <c r="G24" t="str">
        <f t="shared" si="3"/>
        <v>ANGULO</v>
      </c>
      <c r="H24" t="s">
        <v>206</v>
      </c>
      <c r="J24">
        <v>2</v>
      </c>
      <c r="K24" t="s">
        <v>350</v>
      </c>
    </row>
    <row r="25" spans="2:11" x14ac:dyDescent="0.25">
      <c r="B25" s="29">
        <v>16311136</v>
      </c>
      <c r="C25" s="18" t="s">
        <v>340</v>
      </c>
      <c r="D25" s="24">
        <f t="shared" si="0"/>
        <v>16311136</v>
      </c>
      <c r="E25" t="str">
        <f t="shared" si="1"/>
        <v>LAURA PATRICIA</v>
      </c>
      <c r="F25" t="str">
        <f t="shared" si="2"/>
        <v>NOH</v>
      </c>
      <c r="G25" t="str">
        <f t="shared" si="3"/>
        <v>POOL</v>
      </c>
      <c r="H25" t="s">
        <v>206</v>
      </c>
      <c r="J25">
        <v>2</v>
      </c>
      <c r="K25" t="s">
        <v>350</v>
      </c>
    </row>
    <row r="26" spans="2:11" x14ac:dyDescent="0.25">
      <c r="B26" s="30">
        <v>16311137</v>
      </c>
      <c r="C26" s="18" t="s">
        <v>341</v>
      </c>
      <c r="D26" s="24">
        <f t="shared" si="0"/>
        <v>16311137</v>
      </c>
      <c r="E26" t="str">
        <f t="shared" si="1"/>
        <v>LUIS ALBERTO</v>
      </c>
      <c r="F26" t="str">
        <f t="shared" si="2"/>
        <v>NOVELO</v>
      </c>
      <c r="G26" t="str">
        <f t="shared" si="3"/>
        <v>KEB</v>
      </c>
      <c r="H26" t="s">
        <v>206</v>
      </c>
      <c r="J26">
        <v>2</v>
      </c>
      <c r="K26" t="s">
        <v>350</v>
      </c>
    </row>
    <row r="27" spans="2:11" x14ac:dyDescent="0.25">
      <c r="B27" s="29">
        <v>16311139</v>
      </c>
      <c r="C27" s="18" t="s">
        <v>342</v>
      </c>
      <c r="D27" s="24">
        <f t="shared" si="0"/>
        <v>16311139</v>
      </c>
      <c r="E27" t="str">
        <f t="shared" si="1"/>
        <v>MERLLY GUADALUPE</v>
      </c>
      <c r="F27" t="str">
        <f t="shared" si="2"/>
        <v>OJEDA</v>
      </c>
      <c r="G27" t="str">
        <f t="shared" si="3"/>
        <v>BALAM</v>
      </c>
      <c r="H27" t="s">
        <v>206</v>
      </c>
      <c r="J27">
        <v>2</v>
      </c>
      <c r="K27" t="s">
        <v>350</v>
      </c>
    </row>
    <row r="28" spans="2:11" x14ac:dyDescent="0.25">
      <c r="B28" s="31">
        <v>16311142</v>
      </c>
      <c r="C28" s="18" t="s">
        <v>343</v>
      </c>
      <c r="D28" s="24">
        <f t="shared" si="0"/>
        <v>16311142</v>
      </c>
      <c r="E28" t="str">
        <f t="shared" si="1"/>
        <v>WILBERTH EDUARDO</v>
      </c>
      <c r="F28" t="str">
        <f t="shared" si="2"/>
        <v>PECH</v>
      </c>
      <c r="G28" t="str">
        <f t="shared" si="3"/>
        <v>CHAN</v>
      </c>
      <c r="H28" t="s">
        <v>206</v>
      </c>
      <c r="J28">
        <v>2</v>
      </c>
      <c r="K28" t="s">
        <v>350</v>
      </c>
    </row>
    <row r="29" spans="2:11" x14ac:dyDescent="0.25">
      <c r="B29" s="17">
        <v>16311143</v>
      </c>
      <c r="C29" s="23" t="s">
        <v>344</v>
      </c>
      <c r="D29" s="24">
        <f t="shared" si="0"/>
        <v>16311143</v>
      </c>
      <c r="E29" t="str">
        <f t="shared" si="1"/>
        <v>RIJANY ANAHI</v>
      </c>
      <c r="F29" t="str">
        <f t="shared" si="2"/>
        <v>PECH</v>
      </c>
      <c r="G29" t="str">
        <f t="shared" si="3"/>
        <v>GOMEZ</v>
      </c>
      <c r="H29" t="s">
        <v>206</v>
      </c>
      <c r="J29">
        <v>2</v>
      </c>
      <c r="K29" t="s">
        <v>350</v>
      </c>
    </row>
    <row r="30" spans="2:11" x14ac:dyDescent="0.25">
      <c r="B30" s="31">
        <v>16311145</v>
      </c>
      <c r="C30" s="32" t="s">
        <v>345</v>
      </c>
      <c r="D30" s="24">
        <f t="shared" si="0"/>
        <v>16311145</v>
      </c>
      <c r="E30" t="str">
        <f t="shared" si="1"/>
        <v xml:space="preserve">JOSE ARCENIO </v>
      </c>
      <c r="F30" t="str">
        <f t="shared" si="2"/>
        <v>PERAZA</v>
      </c>
      <c r="G30" t="str">
        <f t="shared" si="3"/>
        <v>UC</v>
      </c>
      <c r="H30" t="s">
        <v>206</v>
      </c>
      <c r="J30">
        <v>2</v>
      </c>
      <c r="K30" t="s">
        <v>350</v>
      </c>
    </row>
    <row r="31" spans="2:11" x14ac:dyDescent="0.25">
      <c r="B31" s="31">
        <v>16311152</v>
      </c>
      <c r="C31" s="23" t="s">
        <v>346</v>
      </c>
      <c r="D31" s="24">
        <f t="shared" si="0"/>
        <v>16311152</v>
      </c>
      <c r="E31" t="str">
        <f t="shared" si="1"/>
        <v>GEOVANI RODRIGO</v>
      </c>
      <c r="F31" t="str">
        <f t="shared" si="2"/>
        <v>SEL</v>
      </c>
      <c r="G31" t="str">
        <f t="shared" si="3"/>
        <v>CHALE</v>
      </c>
      <c r="H31" t="s">
        <v>206</v>
      </c>
      <c r="J31">
        <v>2</v>
      </c>
      <c r="K31" t="s">
        <v>350</v>
      </c>
    </row>
    <row r="32" spans="2:11" x14ac:dyDescent="0.25">
      <c r="B32" s="17">
        <v>16311153</v>
      </c>
      <c r="C32" s="23" t="s">
        <v>347</v>
      </c>
      <c r="D32" s="24">
        <f t="shared" si="0"/>
        <v>16311153</v>
      </c>
      <c r="E32" t="str">
        <f t="shared" si="1"/>
        <v>CARLOS ENRIQUE</v>
      </c>
      <c r="F32" t="str">
        <f t="shared" si="2"/>
        <v>SUAREZ</v>
      </c>
      <c r="G32" t="str">
        <f t="shared" si="3"/>
        <v>CHAN</v>
      </c>
      <c r="H32" t="s">
        <v>206</v>
      </c>
      <c r="J32">
        <v>2</v>
      </c>
      <c r="K32" t="s">
        <v>350</v>
      </c>
    </row>
    <row r="33" spans="2:11" x14ac:dyDescent="0.25">
      <c r="B33" s="31">
        <v>16311155</v>
      </c>
      <c r="C33" s="23" t="s">
        <v>348</v>
      </c>
      <c r="D33" s="24">
        <f t="shared" si="0"/>
        <v>16311155</v>
      </c>
      <c r="E33" t="str">
        <f t="shared" si="1"/>
        <v>JOEL DE JESUS</v>
      </c>
      <c r="F33" t="str">
        <f t="shared" si="2"/>
        <v>TAMAYO</v>
      </c>
      <c r="G33" t="str">
        <f t="shared" si="3"/>
        <v>CUEVAS</v>
      </c>
      <c r="H33" t="s">
        <v>206</v>
      </c>
      <c r="J33">
        <v>2</v>
      </c>
      <c r="K33" t="s">
        <v>350</v>
      </c>
    </row>
    <row r="34" spans="2:11" x14ac:dyDescent="0.25">
      <c r="B34" s="33">
        <v>16311158</v>
      </c>
      <c r="C34" s="23" t="s">
        <v>349</v>
      </c>
      <c r="D34" s="24">
        <f t="shared" si="0"/>
        <v>16311158</v>
      </c>
      <c r="E34" t="str">
        <f t="shared" si="1"/>
        <v>HEECELY JUANITA</v>
      </c>
      <c r="F34" t="str">
        <f t="shared" si="2"/>
        <v>VILLEGAS</v>
      </c>
      <c r="G34" t="str">
        <f t="shared" si="3"/>
        <v>CETINA</v>
      </c>
      <c r="H34" t="s">
        <v>206</v>
      </c>
      <c r="J34">
        <v>2</v>
      </c>
      <c r="K34" t="s">
        <v>350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12</vt:i4>
      </vt:variant>
    </vt:vector>
  </HeadingPairs>
  <TitlesOfParts>
    <vt:vector size="12" baseType="lpstr">
      <vt:lpstr>TTS-5A</vt:lpstr>
      <vt:lpstr>TTS-2B</vt:lpstr>
      <vt:lpstr>TTS-2A</vt:lpstr>
      <vt:lpstr>TTH</vt:lpstr>
      <vt:lpstr>TMI</vt:lpstr>
      <vt:lpstr>TGA</vt:lpstr>
      <vt:lpstr>TTS2A</vt:lpstr>
      <vt:lpstr>TTH-2A</vt:lpstr>
      <vt:lpstr>TTH-2B</vt:lpstr>
      <vt:lpstr>TMI-2A</vt:lpstr>
      <vt:lpstr>TGA-2A</vt:lpstr>
      <vt:lpstr>TGA-2B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Gilberto</dc:creator>
  <cp:lastModifiedBy>Gilberto</cp:lastModifiedBy>
  <dcterms:created xsi:type="dcterms:W3CDTF">2016-10-25T13:47:50Z</dcterms:created>
  <dcterms:modified xsi:type="dcterms:W3CDTF">2018-02-01T19:14:03Z</dcterms:modified>
</cp:coreProperties>
</file>